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ehap\OneDrive\Desktop\"/>
    </mc:Choice>
  </mc:AlternateContent>
  <xr:revisionPtr revIDLastSave="0" documentId="13_ncr:1_{3ED7C740-41F1-4C2A-90EB-68C97E77E9BF}" xr6:coauthVersionLast="47" xr6:coauthVersionMax="47" xr10:uidLastSave="{00000000-0000-0000-0000-000000000000}"/>
  <bookViews>
    <workbookView xWindow="-108" yWindow="-108" windowWidth="23256" windowHeight="13176" tabRatio="500" activeTab="1" xr2:uid="{00000000-000D-0000-FFFF-FFFF00000000}"/>
  </bookViews>
  <sheets>
    <sheet name="Data" sheetId="2" r:id="rId1"/>
    <sheet name="Dashboard" sheetId="1" r:id="rId2"/>
    <sheet name="Description"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13" i="1" l="1"/>
  <c r="R14" i="1"/>
  <c r="R15" i="1"/>
  <c r="F14" i="1"/>
  <c r="F43" i="2"/>
  <c r="E43" i="2"/>
  <c r="F50" i="1" s="1"/>
  <c r="F42" i="2"/>
  <c r="H49" i="1" s="1"/>
  <c r="E42" i="2"/>
  <c r="F41" i="2"/>
  <c r="H48" i="1" s="1"/>
  <c r="E41" i="2"/>
  <c r="F40" i="2"/>
  <c r="O32" i="1" s="1"/>
  <c r="E40" i="2"/>
  <c r="G40" i="2" s="1"/>
  <c r="F39" i="2"/>
  <c r="H46" i="1" s="1"/>
  <c r="E39" i="2"/>
  <c r="M46" i="1" s="1"/>
  <c r="F38" i="2"/>
  <c r="O30" i="1" s="1"/>
  <c r="E38" i="2"/>
  <c r="F37" i="2"/>
  <c r="O29" i="1" s="1"/>
  <c r="E37" i="2"/>
  <c r="M44" i="1" s="1"/>
  <c r="F36" i="2"/>
  <c r="O28" i="1" s="1"/>
  <c r="E36" i="2"/>
  <c r="N28" i="1" s="1"/>
  <c r="F35" i="2"/>
  <c r="O27" i="1" s="1"/>
  <c r="E35" i="2"/>
  <c r="N27" i="1" s="1"/>
  <c r="F34" i="2"/>
  <c r="O26" i="1" s="1"/>
  <c r="E34" i="2"/>
  <c r="N26" i="1" s="1"/>
  <c r="B31" i="2"/>
  <c r="B30" i="2"/>
  <c r="C26" i="2"/>
  <c r="D26" i="2" s="1"/>
  <c r="B26" i="2"/>
  <c r="C25" i="2"/>
  <c r="D25" i="2" s="1"/>
  <c r="B25" i="2"/>
  <c r="C24" i="2"/>
  <c r="D24" i="2" s="1"/>
  <c r="B24" i="2"/>
  <c r="C23" i="2"/>
  <c r="D23" i="2" s="1"/>
  <c r="B23" i="2"/>
  <c r="C22" i="2"/>
  <c r="D22" i="2" s="1"/>
  <c r="B22" i="2"/>
  <c r="C21" i="2"/>
  <c r="D21" i="2" s="1"/>
  <c r="B21" i="2"/>
  <c r="C20" i="2"/>
  <c r="D20" i="2" s="1"/>
  <c r="B20" i="2"/>
  <c r="C19" i="2"/>
  <c r="D19" i="2" s="1"/>
  <c r="B19" i="2"/>
  <c r="C18" i="2"/>
  <c r="D18" i="2" s="1"/>
  <c r="B18" i="2"/>
  <c r="C17" i="2"/>
  <c r="D17" i="2" s="1"/>
  <c r="B17" i="2"/>
  <c r="H12" i="2"/>
  <c r="O11" i="2"/>
  <c r="I22" i="1" s="1"/>
  <c r="M11" i="2"/>
  <c r="H22" i="1" s="1"/>
  <c r="H11" i="2"/>
  <c r="O10" i="2"/>
  <c r="I21" i="1" s="1"/>
  <c r="M10" i="2"/>
  <c r="H21" i="1" s="1"/>
  <c r="H10" i="2"/>
  <c r="N21" i="1" s="1"/>
  <c r="O9" i="2"/>
  <c r="P9" i="2" s="1"/>
  <c r="M9" i="2"/>
  <c r="H20" i="1" s="1"/>
  <c r="H9" i="2"/>
  <c r="N20" i="1" s="1"/>
  <c r="O8" i="2"/>
  <c r="I19" i="1" s="1"/>
  <c r="M8" i="2"/>
  <c r="H19" i="1" s="1"/>
  <c r="H8" i="2"/>
  <c r="E54" i="1" s="1"/>
  <c r="O7" i="2"/>
  <c r="P7" i="2" s="1"/>
  <c r="M7" i="2"/>
  <c r="H18" i="1" s="1"/>
  <c r="H7" i="2"/>
  <c r="N18" i="1" s="1"/>
  <c r="O6" i="2"/>
  <c r="P6" i="2" s="1"/>
  <c r="M6" i="2"/>
  <c r="H17" i="1" s="1"/>
  <c r="H6" i="2"/>
  <c r="K54" i="1" s="1"/>
  <c r="O5" i="2"/>
  <c r="P5" i="2" s="1"/>
  <c r="M5" i="2"/>
  <c r="H16" i="1" s="1"/>
  <c r="H5" i="2"/>
  <c r="N16" i="1" s="1"/>
  <c r="O4" i="2"/>
  <c r="I15" i="1" s="1"/>
  <c r="M4" i="2"/>
  <c r="H15" i="1" s="1"/>
  <c r="K4" i="2"/>
  <c r="F28" i="1" s="1"/>
  <c r="H4" i="2"/>
  <c r="N15" i="1" s="1"/>
  <c r="O3" i="2"/>
  <c r="P3" i="2" s="1"/>
  <c r="M3" i="2"/>
  <c r="H14" i="1" s="1"/>
  <c r="K3" i="2"/>
  <c r="F27" i="1" s="1"/>
  <c r="H3" i="2"/>
  <c r="H54" i="1" s="1"/>
  <c r="O2" i="2"/>
  <c r="P2" i="2" s="1"/>
  <c r="M2" i="2"/>
  <c r="H13" i="1" s="1"/>
  <c r="K2" i="2"/>
  <c r="F26" i="1" s="1"/>
  <c r="H2" i="2"/>
  <c r="N13" i="1" s="1"/>
  <c r="Q54" i="1"/>
  <c r="R50" i="1"/>
  <c r="P50" i="1"/>
  <c r="M50" i="1"/>
  <c r="H50" i="1"/>
  <c r="R49" i="1"/>
  <c r="P49" i="1"/>
  <c r="R48" i="1"/>
  <c r="P48" i="1"/>
  <c r="R47" i="1"/>
  <c r="P47" i="1"/>
  <c r="R46" i="1"/>
  <c r="P46" i="1"/>
  <c r="R45" i="1"/>
  <c r="P45" i="1"/>
  <c r="M45" i="1"/>
  <c r="F45" i="1"/>
  <c r="R44" i="1"/>
  <c r="P44" i="1"/>
  <c r="H44" i="1"/>
  <c r="R43" i="1"/>
  <c r="P43" i="1"/>
  <c r="H43" i="1"/>
  <c r="R42" i="1"/>
  <c r="P42" i="1"/>
  <c r="R41" i="1"/>
  <c r="P41" i="1"/>
  <c r="O35" i="1"/>
  <c r="J35" i="1"/>
  <c r="I35" i="1"/>
  <c r="C35" i="1"/>
  <c r="J34" i="1"/>
  <c r="I34" i="1"/>
  <c r="C34" i="1"/>
  <c r="J33" i="1"/>
  <c r="I33" i="1"/>
  <c r="C33" i="1"/>
  <c r="J32" i="1"/>
  <c r="I32" i="1"/>
  <c r="C32" i="1"/>
  <c r="J31" i="1"/>
  <c r="I31" i="1"/>
  <c r="C31" i="1"/>
  <c r="N30" i="1"/>
  <c r="J30" i="1"/>
  <c r="I30" i="1"/>
  <c r="C30" i="1"/>
  <c r="J29" i="1"/>
  <c r="I29" i="1"/>
  <c r="C29" i="1"/>
  <c r="J28" i="1"/>
  <c r="I28" i="1"/>
  <c r="C28" i="1"/>
  <c r="J27" i="1"/>
  <c r="I27" i="1"/>
  <c r="C27" i="1"/>
  <c r="J26" i="1"/>
  <c r="I26" i="1"/>
  <c r="C26" i="1"/>
  <c r="J22" i="1"/>
  <c r="G22" i="1"/>
  <c r="F22" i="1"/>
  <c r="E22" i="1"/>
  <c r="D22" i="1"/>
  <c r="C22" i="1"/>
  <c r="J21" i="1"/>
  <c r="G21" i="1"/>
  <c r="F21" i="1"/>
  <c r="E21" i="1"/>
  <c r="D21" i="1"/>
  <c r="C21" i="1"/>
  <c r="J20" i="1"/>
  <c r="G20" i="1"/>
  <c r="F20" i="1"/>
  <c r="E20" i="1"/>
  <c r="D20" i="1"/>
  <c r="C20" i="1"/>
  <c r="J19" i="1"/>
  <c r="G19" i="1"/>
  <c r="F19" i="1"/>
  <c r="E19" i="1"/>
  <c r="D19" i="1"/>
  <c r="C19" i="1"/>
  <c r="J18" i="1"/>
  <c r="G18" i="1"/>
  <c r="F18" i="1"/>
  <c r="E18" i="1"/>
  <c r="D18" i="1"/>
  <c r="C18" i="1"/>
  <c r="N17" i="1"/>
  <c r="J17" i="1"/>
  <c r="I17" i="1"/>
  <c r="G17" i="1"/>
  <c r="F17" i="1"/>
  <c r="E17" i="1"/>
  <c r="D17" i="1"/>
  <c r="C17" i="1"/>
  <c r="J16" i="1"/>
  <c r="G16" i="1"/>
  <c r="F16" i="1"/>
  <c r="E16" i="1"/>
  <c r="D16" i="1"/>
  <c r="C16" i="1"/>
  <c r="J15" i="1"/>
  <c r="G15" i="1"/>
  <c r="F15" i="1"/>
  <c r="E15" i="1"/>
  <c r="D15" i="1"/>
  <c r="C15" i="1"/>
  <c r="N14" i="1"/>
  <c r="J14" i="1"/>
  <c r="G14" i="1"/>
  <c r="E14" i="1"/>
  <c r="D14" i="1"/>
  <c r="C14" i="1"/>
  <c r="J13" i="1"/>
  <c r="G13" i="1"/>
  <c r="F13" i="1"/>
  <c r="E13" i="1"/>
  <c r="D13" i="1"/>
  <c r="C13" i="1"/>
  <c r="Q7" i="1"/>
  <c r="N7" i="1"/>
  <c r="K7" i="1"/>
  <c r="H7" i="1"/>
  <c r="E7" i="1"/>
  <c r="B7" i="1"/>
  <c r="B54" i="1" l="1"/>
  <c r="O33" i="1"/>
  <c r="F44" i="1"/>
  <c r="G41" i="2"/>
  <c r="P33" i="1" s="1"/>
  <c r="M47" i="1"/>
  <c r="G42" i="2"/>
  <c r="J49" i="1" s="1"/>
  <c r="N35" i="1"/>
  <c r="F48" i="1"/>
  <c r="N29" i="1"/>
  <c r="N33" i="1"/>
  <c r="M41" i="1"/>
  <c r="M49" i="1"/>
  <c r="I18" i="1"/>
  <c r="N34" i="1"/>
  <c r="F41" i="1"/>
  <c r="I20" i="1"/>
  <c r="O34" i="1"/>
  <c r="F43" i="1"/>
  <c r="I14" i="1"/>
  <c r="M43" i="1"/>
  <c r="H45" i="1"/>
  <c r="F47" i="1"/>
  <c r="P4" i="2"/>
  <c r="H47" i="1"/>
  <c r="G38" i="2"/>
  <c r="P30" i="1" s="1"/>
  <c r="G34" i="2"/>
  <c r="N31" i="1"/>
  <c r="H41" i="1"/>
  <c r="P8" i="2"/>
  <c r="P11" i="2"/>
  <c r="G39" i="2"/>
  <c r="I13" i="1"/>
  <c r="G35" i="2"/>
  <c r="F46" i="1"/>
  <c r="F42" i="1"/>
  <c r="M48" i="1"/>
  <c r="G36" i="2"/>
  <c r="N32" i="1"/>
  <c r="H42" i="1"/>
  <c r="N54" i="1"/>
  <c r="M42" i="1"/>
  <c r="F49" i="1"/>
  <c r="P10" i="2"/>
  <c r="G43" i="2"/>
  <c r="J50" i="1" s="1"/>
  <c r="O31" i="1"/>
  <c r="I16" i="1"/>
  <c r="G37" i="2"/>
  <c r="P29" i="1" s="1"/>
  <c r="J47" i="1"/>
  <c r="P32" i="1"/>
  <c r="P34" i="1"/>
  <c r="N19" i="1"/>
  <c r="J48" i="1" l="1"/>
  <c r="J45" i="1"/>
  <c r="P28" i="1"/>
  <c r="J43" i="1"/>
  <c r="J44" i="1"/>
  <c r="J42" i="1"/>
  <c r="P27" i="1"/>
  <c r="P35" i="1"/>
  <c r="P31" i="1"/>
  <c r="J46" i="1"/>
  <c r="P26" i="1"/>
  <c r="J41" i="1"/>
</calcChain>
</file>

<file path=xl/sharedStrings.xml><?xml version="1.0" encoding="utf-8"?>
<sst xmlns="http://schemas.openxmlformats.org/spreadsheetml/2006/main" count="287" uniqueCount="140">
  <si>
    <t>Teams Playing</t>
  </si>
  <si>
    <t>Matches Played</t>
  </si>
  <si>
    <t>Avg Rating (NRR)</t>
  </si>
  <si>
    <t>Top Points</t>
  </si>
  <si>
    <t>Std Dev (Pts)</t>
  </si>
  <si>
    <t>Teams in Top 4</t>
  </si>
  <si>
    <t xml:space="preserve">  ◈  IPL 2026 Points Table  [Unit 1 – Descriptive Statistics]</t>
  </si>
  <si>
    <t>Team</t>
  </si>
  <si>
    <t>M</t>
  </si>
  <si>
    <t>W</t>
  </si>
  <si>
    <t>L</t>
  </si>
  <si>
    <t>NRR</t>
  </si>
  <si>
    <t>Points</t>
  </si>
  <si>
    <t>Predictor</t>
  </si>
  <si>
    <t>Form</t>
  </si>
  <si>
    <t>Win%</t>
  </si>
  <si>
    <t xml:space="preserve">  Unit 1 – Measures of Variability</t>
  </si>
  <si>
    <t xml:space="preserve">  Unit 2 – Classification Count</t>
  </si>
  <si>
    <t>PBKS</t>
  </si>
  <si>
    <t>Avg Points/Match</t>
  </si>
  <si>
    <t>Strong (≥4 pts)</t>
  </si>
  <si>
    <t>RCB</t>
  </si>
  <si>
    <t>Max Points</t>
  </si>
  <si>
    <t>Mid (1-3 pts)</t>
  </si>
  <si>
    <t>RR</t>
  </si>
  <si>
    <t>Min Points</t>
  </si>
  <si>
    <t>Struggling (0)</t>
  </si>
  <si>
    <t>DC</t>
  </si>
  <si>
    <t>Avg NRR</t>
  </si>
  <si>
    <t>SRH</t>
  </si>
  <si>
    <t>MI</t>
  </si>
  <si>
    <t>Variance</t>
  </si>
  <si>
    <t>LSG</t>
  </si>
  <si>
    <t>Median Points</t>
  </si>
  <si>
    <t>GT</t>
  </si>
  <si>
    <t>Top-4 Threshold</t>
  </si>
  <si>
    <t>KKR</t>
  </si>
  <si>
    <t>Avg Win%</t>
  </si>
  <si>
    <t>CSK</t>
  </si>
  <si>
    <t xml:space="preserve">  ◈  Charts – Data Visualization  [Unit 2]</t>
  </si>
  <si>
    <t xml:space="preserve">  ◈  Regression &amp; Cluster Analysis  [Unit 3]</t>
  </si>
  <si>
    <t>Category</t>
  </si>
  <si>
    <t>Count</t>
  </si>
  <si>
    <t>Reg Ŷ</t>
  </si>
  <si>
    <t>Team A</t>
  </si>
  <si>
    <t>Team B</t>
  </si>
  <si>
    <t>P(A wins)</t>
  </si>
  <si>
    <t>P(B wins)</t>
  </si>
  <si>
    <t>Winner</t>
  </si>
  <si>
    <t xml:space="preserve">  ◈  Match-by-Match Win Prediction  [Unit 4 &amp; 5 – Predictive Modelling &amp; Decision Analysis]</t>
  </si>
  <si>
    <t>Prediction</t>
  </si>
  <si>
    <t>Predictor Class</t>
  </si>
  <si>
    <t>Cluster A</t>
  </si>
  <si>
    <t>Cluster B</t>
  </si>
  <si>
    <t xml:space="preserve">  ◈  Summary KPIs  [Unit 1 – Descriptive Statistics]</t>
  </si>
  <si>
    <t>Avg Points</t>
  </si>
  <si>
    <t>Std Deviation</t>
  </si>
  <si>
    <t>Avg Win %</t>
  </si>
  <si>
    <t>Accuracy</t>
  </si>
  <si>
    <t>from Data sheet</t>
  </si>
  <si>
    <t>Metric</t>
  </si>
  <si>
    <t>Value</t>
  </si>
  <si>
    <t>Win Predictor</t>
  </si>
  <si>
    <t>Form (Actual)</t>
  </si>
  <si>
    <t>Predicted Form</t>
  </si>
  <si>
    <t>Hist Win%</t>
  </si>
  <si>
    <t>Std Dev (Points)</t>
  </si>
  <si>
    <t>Top-4 threshold</t>
  </si>
  <si>
    <t>Max Win%</t>
  </si>
  <si>
    <t>Min Win%</t>
  </si>
  <si>
    <t>Accuracy (IF match)</t>
  </si>
  <si>
    <t>Pts(reg)</t>
  </si>
  <si>
    <t>NRR(reg)</t>
  </si>
  <si>
    <t>Slope (m)</t>
  </si>
  <si>
    <t>Intercept (b)</t>
  </si>
  <si>
    <t>R²</t>
  </si>
  <si>
    <t>Win% A</t>
  </si>
  <si>
    <t>Win% B</t>
  </si>
  <si>
    <t>IPL 2026 — Team Performance &amp; Win Prediction Dashboard</t>
  </si>
  <si>
    <t>Objective</t>
  </si>
  <si>
    <t>The main objective of this project is to analyse IPL 2026 team performance data using Microsoft Excel. This dashboard helps understand team strengths, predict match outcomes, and apply statistical techniques to make data-driven decisions about which teams are most likely to win against each other.</t>
  </si>
  <si>
    <t>Dataset Description</t>
  </si>
  <si>
    <t xml:space="preserve">    • Team Name (10 IPL franchises)</t>
  </si>
  <si>
    <t xml:space="preserve">    • Matches Played (M)</t>
  </si>
  <si>
    <t xml:space="preserve">    • Wins (W) and Losses (L)</t>
  </si>
  <si>
    <t xml:space="preserve">    • Net Run Rate (NRR) — runs scored per over minus runs conceded per over</t>
  </si>
  <si>
    <t xml:space="preserve">    • Points (2 per win, 1 per no-result, 0 per loss)</t>
  </si>
  <si>
    <t xml:space="preserve">    • Historical Win Percentage (all-time IPL data, 2008–2025)</t>
  </si>
  <si>
    <t>This data is used to perform statistical analysis, create visualizations, build regression and cluster models, and predict match winners.</t>
  </si>
  <si>
    <t>Tools and Techniques Used</t>
  </si>
  <si>
    <t>The project is implemented using Microsoft Excel with the following tools and functions:</t>
  </si>
  <si>
    <t xml:space="preserve">    • Statistical functions: AVERAGE, MEDIAN, MAX, MIN, STDEV, VAR, LARGE</t>
  </si>
  <si>
    <t xml:space="preserve">    • Logical functions: IF (nested for classification and prediction)</t>
  </si>
  <si>
    <t xml:space="preserve">    • Conditional functions: COUNTIF, COUNTIFS</t>
  </si>
  <si>
    <t xml:space="preserve">    • Regression functions: SLOPE, INTERCEPT, CORREL</t>
  </si>
  <si>
    <t xml:space="preserve">    • Charts: Bar Chart, Pie Chart, Line Chart with regression line, Horizontal Bar (H2H)</t>
  </si>
  <si>
    <t xml:space="preserve">    • Probability model: P(A wins) = HistWin%(A) / (HistWin%(A) + HistWin%(B))</t>
  </si>
  <si>
    <t>Concepts Used — Step-by-Step with Formulas</t>
  </si>
  <si>
    <t>UNIT 1 — Descriptive Statistics: Measures of Variability</t>
  </si>
  <si>
    <t>We describe the spread of IPL 2026 team points using these Excel formulas:</t>
  </si>
  <si>
    <t xml:space="preserve">  ▶  =AVERAGE(F2:F11)   →   Mean points per team — tells the 'typical' team score</t>
  </si>
  <si>
    <t xml:space="preserve">  ▶  =MEDIAN(F2:F11)   →   Median — middle value, robust to outliers like CSK's 0</t>
  </si>
  <si>
    <t xml:space="preserve">  ▶  =STDEV(F2:F11)   →   Standard Deviation — how spread out team points are</t>
  </si>
  <si>
    <t xml:space="preserve">  ▶  =VAR(F2:F11)   →   Variance — squared spread (σ²)</t>
  </si>
  <si>
    <t xml:space="preserve">  ▶  =MAX(F2:F11)   →   Highest team points (RR leads with 6 pts)</t>
  </si>
  <si>
    <t xml:space="preserve">  ▶  =MIN(F2:F11)   →   Lowest team points (CSK/GT at 0)</t>
  </si>
  <si>
    <t xml:space="preserve">  ▶  =LARGE(F2:F11,4)   →   4th highest points — the playoff qualification threshold</t>
  </si>
  <si>
    <t>UNIT 2 — Data Visualization &amp; Probability</t>
  </si>
  <si>
    <t>Four charts are embedded on the Dashboard sheet:</t>
  </si>
  <si>
    <t xml:space="preserve">    • Bar Chart: Team points — quick visual comparison of current standings</t>
  </si>
  <si>
    <t xml:space="preserve">    • Pie Chart: Team categories (Strong / Mid / Struggling) using COUNTIF formulas</t>
  </si>
  <si>
    <t xml:space="preserve">    • Line Chart: Points per team + regression line overlay</t>
  </si>
  <si>
    <t xml:space="preserve">    • Horizontal Bar Chart: Head-to-head win probabilities side-by-side</t>
  </si>
  <si>
    <t>Probability formula — P(Team A wins a match vs Team B):</t>
  </si>
  <si>
    <t xml:space="preserve">  ▶  =C{row}/(C{row}+D{row})   →   Historical Win% of A divided by sum of both teams' Win% — gives probability A wins</t>
  </si>
  <si>
    <t>UNIT 3 — Descriptive Data Mining: Cluster Analysis &amp; Linear Regression</t>
  </si>
  <si>
    <t>Cluster Analysis: Teams are grouped into 3 clusters by historical Win%:</t>
  </si>
  <si>
    <t xml:space="preserve">  ▶  =IF(Win%&gt;=55,"High Win%",IF(Win%&gt;=49,"Mid Win%","Low Win%"))   →   Assigns each team to Low / Mid / High cluster using nested IF</t>
  </si>
  <si>
    <t>Linear Regression: We model the relationship between NRR and Points:</t>
  </si>
  <si>
    <t xml:space="preserve">  ▶  =SLOPE(Points_range, NRR_range)   →   Calculates slope m — how much Points increase per unit of NRR</t>
  </si>
  <si>
    <t xml:space="preserve">  ▶  =INTERCEPT(Points_range, NRR_range)   →   Calculates intercept b — predicted Points when NRR=0</t>
  </si>
  <si>
    <t xml:space="preserve">  ▶  =CORREL(NRR_range, Points_range)^2   →   R² — tells how well NRR explains variation in Points</t>
  </si>
  <si>
    <t xml:space="preserve">  ▶  =SLOPE(...)*NRR + INTERCEPT(...)   →   Ŷ — predicted Points for each team from their NRR</t>
  </si>
  <si>
    <t>UNIT 4 — Predictive Data Mining: Win Predictor &amp; Classification</t>
  </si>
  <si>
    <t>Step 1 — Win Predictor (IF-based classification using current form):</t>
  </si>
  <si>
    <t xml:space="preserve">  ▶  =IF((W/M*100+NRR)&gt;=65,"Favourite",IF((W/M*100+NRR)&gt;=35,"Contender","Underdog"))   →   Composite score of win rate + NRR; classifies team as Favourite/Contender/Underdog</t>
  </si>
  <si>
    <t>Step 2 — Predicted Match Winner (probability model):</t>
  </si>
  <si>
    <t xml:space="preserve">  ▶  P(A wins) = HistWin%(A) / (HistWin%(A) + HistWin%(B))   →   Probabilistic prediction; team with higher historical win% more likely to win</t>
  </si>
  <si>
    <t>Step 3 — Decision using IF:</t>
  </si>
  <si>
    <t xml:space="preserve">  ▶  =IF(P(A)&gt;P(B), "Team A wins", "Team B wins")   →   Final binary prediction for each head-to-head matchup</t>
  </si>
  <si>
    <t>UNIT 5 — Decision Analysis</t>
  </si>
  <si>
    <t>Decision Tables are used to evaluate playoff qualification scenarios:</t>
  </si>
  <si>
    <t xml:space="preserve">  ▶  =IF(F{row}&gt;=LARGE(F2:F11,4),"Qualified","Not Qualified")   →   Checks if team's points &gt;= 4th highest points → in playoff zone</t>
  </si>
  <si>
    <t>Probability-weighted decision: a team's expected playoff probability combines current points, NRR, and historical consistency.</t>
  </si>
  <si>
    <t>Conclusion</t>
  </si>
  <si>
    <t>This dashboard provides a complete data-driven analysis of IPL 2026. Using descriptive statistics (Unit 1), data visualisation (Unit 2), regression and clustering (Unit 3), predictive modelling (Unit 4), and decision analysis (Unit 5), we can identify which teams are performing well and predict match outcomes with probability estimates. As of Match 13, RR (6 pts, NRR +2.233) and RCB (4 pts, NRR +2.501) are the strongest title contenders, while CSK and GT need urgent wins to stay in playoff contention.</t>
  </si>
  <si>
    <t>Roll Number: 2023001342</t>
  </si>
  <si>
    <t>Student Name: Neha Penumetcha</t>
  </si>
  <si>
    <t>IPL — TEAM PERFORMANCE &amp; MATCH PREDICTION DASHBOARD</t>
  </si>
  <si>
    <t>The dataset used in this project consists of IPL team data, including: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</si>
</sst>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
    <numFmt numFmtId="166" formatCode="0.0%"/>
    <numFmt numFmtId="167" formatCode="0.0000"/>
  </numFmts>
  <fonts count="52" x14ac:knownFonts="1">
    <font>
      <sz val="11"/>
      <color theme="1"/>
      <name val="Calibri"/>
      <family val="2"/>
      <charset val="1"/>
    </font>
    <font>
      <sz val="26"/>
      <color rgb="FF1A3A2A"/>
      <name val="Calibri"/>
      <charset val="1"/>
    </font>
    <font>
      <b/>
      <sz val="16"/>
      <color rgb="FF2E7D55"/>
      <name val="Calibri"/>
      <charset val="1"/>
    </font>
    <font>
      <b/>
      <sz val="16"/>
      <color rgb="FFC9A84C"/>
      <name val="Calibri"/>
      <charset val="1"/>
    </font>
    <font>
      <b/>
      <sz val="16"/>
      <color rgb="FF4E8098"/>
      <name val="Calibri"/>
      <charset val="1"/>
    </font>
    <font>
      <b/>
      <sz val="16"/>
      <color rgb="FF8B3A3A"/>
      <name val="Calibri"/>
      <charset val="1"/>
    </font>
    <font>
      <b/>
      <sz val="16"/>
      <color rgb="FF5B4E8A"/>
      <name val="Calibri"/>
      <charset val="1"/>
    </font>
    <font>
      <sz val="8"/>
      <color rgb="FF5A6B58"/>
      <name val="Calibri"/>
      <charset val="1"/>
    </font>
    <font>
      <b/>
      <sz val="10"/>
      <color rgb="FFFFFFFF"/>
      <name val="Calibri"/>
      <charset val="1"/>
    </font>
    <font>
      <b/>
      <sz val="9"/>
      <color rgb="FFFFFFFF"/>
      <name val="Calibri"/>
      <charset val="1"/>
    </font>
    <font>
      <b/>
      <sz val="9"/>
      <color rgb="FF2E7D55"/>
      <name val="Calibri"/>
      <charset val="1"/>
    </font>
    <font>
      <sz val="9"/>
      <color rgb="FF5A6B58"/>
      <name val="Calibri"/>
      <charset val="1"/>
    </font>
    <font>
      <sz val="9"/>
      <color rgb="FF8B3A3A"/>
      <name val="Calibri"/>
      <charset val="1"/>
    </font>
    <font>
      <b/>
      <sz val="10"/>
      <color rgb="FFC9A84C"/>
      <name val="Calibri"/>
      <charset val="1"/>
    </font>
    <font>
      <sz val="9"/>
      <color rgb="FF5B4E8A"/>
      <name val="Calibri"/>
      <charset val="1"/>
    </font>
    <font>
      <sz val="9"/>
      <color rgb="FF2E7D55"/>
      <name val="Calibri"/>
      <charset val="1"/>
    </font>
    <font>
      <b/>
      <sz val="9"/>
      <color rgb="FF5A6B58"/>
      <name val="Calibri"/>
      <charset val="1"/>
    </font>
    <font>
      <b/>
      <sz val="9"/>
      <color rgb="FFC9A84C"/>
      <name val="Calibri"/>
      <charset val="1"/>
    </font>
    <font>
      <b/>
      <sz val="10"/>
      <color rgb="FF4E8098"/>
      <name val="Calibri"/>
      <charset val="1"/>
    </font>
    <font>
      <b/>
      <sz val="9"/>
      <color rgb="FF4E8098"/>
      <name val="Calibri"/>
      <charset val="1"/>
    </font>
    <font>
      <b/>
      <sz val="9"/>
      <color rgb="FF8B3A3A"/>
      <name val="Calibri"/>
      <charset val="1"/>
    </font>
    <font>
      <b/>
      <sz val="9"/>
      <color rgb="FF5B4E8A"/>
      <name val="Calibri"/>
      <charset val="1"/>
    </font>
    <font>
      <b/>
      <sz val="8"/>
      <color rgb="FFFFFFFF"/>
      <name val="Calibri"/>
      <charset val="1"/>
    </font>
    <font>
      <b/>
      <sz val="8"/>
      <color rgb="FFC9A84C"/>
      <name val="Calibri"/>
      <charset val="1"/>
    </font>
    <font>
      <b/>
      <sz val="8"/>
      <color rgb="FF4E8098"/>
      <name val="Calibri"/>
      <charset val="1"/>
    </font>
    <font>
      <sz val="8"/>
      <color rgb="FFC9A84C"/>
      <name val="Calibri"/>
      <charset val="1"/>
    </font>
    <font>
      <sz val="8"/>
      <color rgb="FF5B4E8A"/>
      <name val="Calibri"/>
      <charset val="1"/>
    </font>
    <font>
      <b/>
      <sz val="8"/>
      <color rgb="FF2E7D55"/>
      <name val="Calibri"/>
      <charset val="1"/>
    </font>
    <font>
      <b/>
      <sz val="8"/>
      <color rgb="FF8B3A3A"/>
      <name val="Calibri"/>
      <charset val="1"/>
    </font>
    <font>
      <sz val="8"/>
      <color rgb="FF2E7D55"/>
      <name val="Calibri"/>
      <charset val="1"/>
    </font>
    <font>
      <sz val="8"/>
      <color rgb="FF8B3A3A"/>
      <name val="Calibri"/>
      <charset val="1"/>
    </font>
    <font>
      <sz val="9"/>
      <color rgb="FF4E8098"/>
      <name val="Calibri"/>
      <charset val="1"/>
    </font>
    <font>
      <b/>
      <sz val="14"/>
      <color rgb="FF2E7D55"/>
      <name val="Calibri"/>
      <charset val="1"/>
    </font>
    <font>
      <sz val="7"/>
      <color rgb="FF5A6B58"/>
      <name val="Calibri"/>
      <charset val="1"/>
    </font>
    <font>
      <b/>
      <sz val="10"/>
      <color rgb="FF1A3A2A"/>
      <name val="Calibri"/>
      <charset val="1"/>
    </font>
    <font>
      <sz val="10"/>
      <color rgb="FF5A6B58"/>
      <name val="Calibri"/>
      <charset val="1"/>
    </font>
    <font>
      <b/>
      <sz val="10"/>
      <color rgb="FF2E7D55"/>
      <name val="Calibri"/>
      <charset val="1"/>
    </font>
    <font>
      <sz val="10"/>
      <color rgb="FF8B3A3A"/>
      <name val="Calibri"/>
      <charset val="1"/>
    </font>
    <font>
      <b/>
      <sz val="10"/>
      <color rgb="FF5A6B58"/>
      <name val="Calibri"/>
      <charset val="1"/>
    </font>
    <font>
      <sz val="10"/>
      <color rgb="FF2E7D55"/>
      <name val="Calibri"/>
      <charset val="1"/>
    </font>
    <font>
      <sz val="10"/>
      <color rgb="FF4E8098"/>
      <name val="Calibri"/>
      <charset val="1"/>
    </font>
    <font>
      <sz val="10"/>
      <color rgb="FF5B4E8A"/>
      <name val="Calibri"/>
      <charset val="1"/>
    </font>
    <font>
      <b/>
      <sz val="10"/>
      <color rgb="FF5B4E8A"/>
      <name val="Calibri"/>
      <charset val="1"/>
    </font>
    <font>
      <b/>
      <sz val="10"/>
      <color rgb="FF8B3A3A"/>
      <name val="Calibri"/>
      <charset val="1"/>
    </font>
    <font>
      <sz val="11"/>
      <color rgb="FF1A1A1A"/>
      <name val="Calibri"/>
      <charset val="1"/>
    </font>
    <font>
      <b/>
      <sz val="13"/>
      <color rgb="FFFFFFFF"/>
      <name val="Calibri"/>
      <charset val="1"/>
    </font>
    <font>
      <b/>
      <sz val="11"/>
      <color rgb="FF1A3A2A"/>
      <name val="Calibri"/>
      <charset val="1"/>
    </font>
    <font>
      <sz val="9.5"/>
      <color rgb="FF1A3A1A"/>
      <name val="Courier New"/>
      <charset val="1"/>
    </font>
    <font>
      <b/>
      <sz val="12"/>
      <color rgb="FF1A3A2A"/>
      <name val="Calibri"/>
      <family val="2"/>
    </font>
    <font>
      <sz val="26"/>
      <color rgb="FF1A3A2A"/>
      <name val="Calibri"/>
      <family val="2"/>
    </font>
    <font>
      <sz val="11"/>
      <color rgb="FF1A1A1A"/>
      <name val="Calibri"/>
      <family val="2"/>
    </font>
    <font>
      <b/>
      <sz val="14"/>
      <color rgb="FF5A6B58"/>
      <name val="Cambria"/>
      <family val="1"/>
      <scheme val="major"/>
    </font>
  </fonts>
  <fills count="13">
    <fill>
      <patternFill patternType="none"/>
    </fill>
    <fill>
      <patternFill patternType="gray125"/>
    </fill>
    <fill>
      <patternFill patternType="solid">
        <fgColor rgb="FFF4F6F0"/>
        <bgColor rgb="FFF0F7F0"/>
      </patternFill>
    </fill>
    <fill>
      <patternFill patternType="solid">
        <fgColor rgb="FF2E7D55"/>
        <bgColor rgb="FF5A6B58"/>
      </patternFill>
    </fill>
    <fill>
      <patternFill patternType="solid">
        <fgColor rgb="FFC9A84C"/>
        <bgColor rgb="FFFF9900"/>
      </patternFill>
    </fill>
    <fill>
      <patternFill patternType="solid">
        <fgColor rgb="FF4E8098"/>
        <bgColor rgb="FF4F81BD"/>
      </patternFill>
    </fill>
    <fill>
      <patternFill patternType="solid">
        <fgColor rgb="FF8B3A3A"/>
        <bgColor rgb="FF993366"/>
      </patternFill>
    </fill>
    <fill>
      <patternFill patternType="solid">
        <fgColor rgb="FF5B4E8A"/>
        <bgColor rgb="FF5A6B58"/>
      </patternFill>
    </fill>
    <fill>
      <patternFill patternType="solid">
        <fgColor rgb="FFEFF2EC"/>
        <bgColor rgb="FFEBF5EB"/>
      </patternFill>
    </fill>
    <fill>
      <patternFill patternType="solid">
        <fgColor rgb="FFFFFFFF"/>
        <bgColor rgb="FFF4F6F0"/>
      </patternFill>
    </fill>
    <fill>
      <patternFill patternType="solid">
        <fgColor rgb="FFEBF5EB"/>
        <bgColor rgb="FFEFF2EC"/>
      </patternFill>
    </fill>
    <fill>
      <patternFill patternType="solid">
        <fgColor rgb="FFF0F7F0"/>
        <bgColor rgb="FFF4F6F0"/>
      </patternFill>
    </fill>
    <fill>
      <patternFill patternType="solid">
        <fgColor theme="2"/>
        <bgColor rgb="FF5A6B58"/>
      </patternFill>
    </fill>
  </fills>
  <borders count="3">
    <border>
      <left/>
      <right/>
      <top/>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s>
  <cellStyleXfs count="1">
    <xf numFmtId="0" fontId="0" fillId="0" borderId="0"/>
  </cellStyleXfs>
  <cellXfs count="16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9" fillId="3" borderId="1" xfId="0" applyFont="1" applyFill="1" applyBorder="1" applyAlignment="1">
      <alignment horizontal="center" vertical="center"/>
    </xf>
    <xf numFmtId="0" fontId="10" fillId="8" borderId="1" xfId="0" applyFont="1" applyFill="1" applyBorder="1" applyAlignment="1">
      <alignment horizontal="left" vertical="center"/>
    </xf>
    <xf numFmtId="0" fontId="11" fillId="8" borderId="1" xfId="0" applyFont="1" applyFill="1" applyBorder="1" applyAlignment="1">
      <alignment horizontal="center" vertical="center"/>
    </xf>
    <xf numFmtId="0" fontId="10" fillId="8" borderId="1" xfId="0" applyFont="1" applyFill="1" applyBorder="1" applyAlignment="1">
      <alignment horizontal="center" vertical="center"/>
    </xf>
    <xf numFmtId="0" fontId="12" fillId="8" borderId="1" xfId="0" applyFont="1" applyFill="1" applyBorder="1" applyAlignment="1">
      <alignment horizontal="center" vertical="center"/>
    </xf>
    <xf numFmtId="164" fontId="11" fillId="8" borderId="1" xfId="0" applyNumberFormat="1" applyFont="1" applyFill="1" applyBorder="1" applyAlignment="1">
      <alignment horizontal="center" vertical="center"/>
    </xf>
    <xf numFmtId="0" fontId="13" fillId="8" borderId="1" xfId="0" applyFont="1" applyFill="1" applyBorder="1" applyAlignment="1">
      <alignment horizontal="center" vertical="center"/>
    </xf>
    <xf numFmtId="0" fontId="14" fillId="8" borderId="1" xfId="0" applyFont="1" applyFill="1" applyBorder="1" applyAlignment="1">
      <alignment horizontal="center" vertical="center"/>
    </xf>
    <xf numFmtId="0" fontId="15" fillId="8" borderId="1" xfId="0" applyFont="1" applyFill="1" applyBorder="1" applyAlignment="1">
      <alignment horizontal="center" vertical="center"/>
    </xf>
    <xf numFmtId="165" fontId="11" fillId="8" borderId="1" xfId="0" applyNumberFormat="1" applyFont="1" applyFill="1" applyBorder="1" applyAlignment="1">
      <alignment horizontal="center" vertical="center"/>
    </xf>
    <xf numFmtId="0" fontId="10" fillId="9" borderId="1" xfId="0" applyFont="1" applyFill="1" applyBorder="1" applyAlignment="1">
      <alignment horizontal="left" vertical="center"/>
    </xf>
    <xf numFmtId="0" fontId="11" fillId="9" borderId="1" xfId="0" applyFont="1" applyFill="1" applyBorder="1" applyAlignment="1">
      <alignment horizontal="center" vertical="center"/>
    </xf>
    <xf numFmtId="0" fontId="10" fillId="9" borderId="1" xfId="0" applyFont="1" applyFill="1" applyBorder="1" applyAlignment="1">
      <alignment horizontal="center" vertical="center"/>
    </xf>
    <xf numFmtId="0" fontId="12" fillId="9" borderId="1" xfId="0" applyFont="1" applyFill="1" applyBorder="1" applyAlignment="1">
      <alignment horizontal="center" vertical="center"/>
    </xf>
    <xf numFmtId="164" fontId="11" fillId="9" borderId="1" xfId="0" applyNumberFormat="1" applyFont="1" applyFill="1" applyBorder="1" applyAlignment="1">
      <alignment horizontal="center" vertical="center"/>
    </xf>
    <xf numFmtId="0" fontId="13" fillId="9" borderId="1" xfId="0" applyFont="1" applyFill="1" applyBorder="1" applyAlignment="1">
      <alignment horizontal="center" vertical="center"/>
    </xf>
    <xf numFmtId="0" fontId="14" fillId="9" borderId="1" xfId="0" applyFont="1" applyFill="1" applyBorder="1" applyAlignment="1">
      <alignment horizontal="center" vertical="center"/>
    </xf>
    <xf numFmtId="0" fontId="15" fillId="9" borderId="1" xfId="0" applyFont="1" applyFill="1" applyBorder="1" applyAlignment="1">
      <alignment horizontal="center" vertical="center"/>
    </xf>
    <xf numFmtId="165" fontId="11" fillId="9" borderId="1" xfId="0" applyNumberFormat="1" applyFont="1" applyFill="1" applyBorder="1" applyAlignment="1">
      <alignment horizontal="center" vertical="center"/>
    </xf>
    <xf numFmtId="0" fontId="17" fillId="8" borderId="1" xfId="0" applyFont="1" applyFill="1" applyBorder="1" applyAlignment="1">
      <alignment horizontal="left" vertical="center"/>
    </xf>
    <xf numFmtId="0" fontId="17" fillId="9" borderId="1" xfId="0" applyFont="1" applyFill="1" applyBorder="1" applyAlignment="1">
      <alignment horizontal="left" vertical="center"/>
    </xf>
    <xf numFmtId="0" fontId="19" fillId="8" borderId="1" xfId="0" applyFont="1" applyFill="1" applyBorder="1" applyAlignment="1">
      <alignment horizontal="left" vertical="center"/>
    </xf>
    <xf numFmtId="0" fontId="19" fillId="9" borderId="1" xfId="0" applyFont="1" applyFill="1" applyBorder="1" applyAlignment="1">
      <alignment horizontal="left" vertical="center"/>
    </xf>
    <xf numFmtId="0" fontId="20" fillId="8" borderId="1" xfId="0" applyFont="1" applyFill="1" applyBorder="1" applyAlignment="1">
      <alignment horizontal="left" vertical="center"/>
    </xf>
    <xf numFmtId="0" fontId="20" fillId="9" borderId="1" xfId="0" applyFont="1" applyFill="1" applyBorder="1" applyAlignment="1">
      <alignment horizontal="left" vertical="center"/>
    </xf>
    <xf numFmtId="0" fontId="21" fillId="8" borderId="1" xfId="0" applyFont="1" applyFill="1" applyBorder="1" applyAlignment="1">
      <alignment horizontal="left" vertical="center"/>
    </xf>
    <xf numFmtId="0" fontId="21" fillId="9" borderId="1" xfId="0" applyFont="1" applyFill="1" applyBorder="1" applyAlignment="1">
      <alignment horizontal="left" vertical="center"/>
    </xf>
    <xf numFmtId="0" fontId="22" fillId="3" borderId="1" xfId="0" applyFont="1" applyFill="1" applyBorder="1" applyAlignment="1">
      <alignment horizontal="center" vertical="center"/>
    </xf>
    <xf numFmtId="0" fontId="22" fillId="5" borderId="1" xfId="0" applyFont="1" applyFill="1" applyBorder="1" applyAlignment="1">
      <alignment horizontal="center" vertical="center"/>
    </xf>
    <xf numFmtId="0" fontId="22" fillId="7" borderId="1" xfId="0" applyFont="1" applyFill="1" applyBorder="1" applyAlignment="1">
      <alignment horizontal="center" vertical="center"/>
    </xf>
    <xf numFmtId="0" fontId="22" fillId="6" borderId="1" xfId="0" applyFont="1" applyFill="1" applyBorder="1" applyAlignment="1">
      <alignment horizontal="center" vertical="center"/>
    </xf>
    <xf numFmtId="0" fontId="7" fillId="8" borderId="1" xfId="0" applyFont="1" applyFill="1" applyBorder="1" applyAlignment="1">
      <alignment horizontal="left" vertical="center"/>
    </xf>
    <xf numFmtId="1" fontId="23" fillId="8" borderId="1" xfId="0" applyNumberFormat="1" applyFont="1" applyFill="1" applyBorder="1" applyAlignment="1">
      <alignment horizontal="center" vertical="center"/>
    </xf>
    <xf numFmtId="0" fontId="24" fillId="8" borderId="1" xfId="0" applyFont="1" applyFill="1" applyBorder="1" applyAlignment="1">
      <alignment horizontal="center" vertical="center"/>
    </xf>
    <xf numFmtId="1" fontId="25" fillId="8" borderId="1" xfId="0" applyNumberFormat="1" applyFont="1" applyFill="1" applyBorder="1" applyAlignment="1">
      <alignment horizontal="center" vertical="center"/>
    </xf>
    <xf numFmtId="2" fontId="26" fillId="8" borderId="1" xfId="0" applyNumberFormat="1" applyFont="1" applyFill="1" applyBorder="1" applyAlignment="1">
      <alignment horizontal="center" vertical="center"/>
    </xf>
    <xf numFmtId="0" fontId="27" fillId="8" borderId="1" xfId="0" applyFont="1" applyFill="1" applyBorder="1" applyAlignment="1">
      <alignment horizontal="center" vertical="center"/>
    </xf>
    <xf numFmtId="0" fontId="28" fillId="8" borderId="1" xfId="0" applyFont="1" applyFill="1" applyBorder="1" applyAlignment="1">
      <alignment horizontal="center" vertical="center"/>
    </xf>
    <xf numFmtId="166" fontId="29" fillId="8" borderId="1" xfId="0" applyNumberFormat="1" applyFont="1" applyFill="1" applyBorder="1" applyAlignment="1">
      <alignment horizontal="center" vertical="center"/>
    </xf>
    <xf numFmtId="166" fontId="30" fillId="8" borderId="1" xfId="0" applyNumberFormat="1" applyFont="1" applyFill="1" applyBorder="1" applyAlignment="1">
      <alignment horizontal="center" vertical="center"/>
    </xf>
    <xf numFmtId="0" fontId="23" fillId="8" borderId="1" xfId="0" applyFont="1" applyFill="1" applyBorder="1" applyAlignment="1">
      <alignment horizontal="center" vertical="center"/>
    </xf>
    <xf numFmtId="0" fontId="7" fillId="9" borderId="1" xfId="0" applyFont="1" applyFill="1" applyBorder="1" applyAlignment="1">
      <alignment horizontal="left" vertical="center"/>
    </xf>
    <xf numFmtId="1" fontId="23" fillId="9" borderId="1" xfId="0" applyNumberFormat="1" applyFont="1" applyFill="1" applyBorder="1" applyAlignment="1">
      <alignment horizontal="center" vertical="center"/>
    </xf>
    <xf numFmtId="0" fontId="24" fillId="9" borderId="1" xfId="0" applyFont="1" applyFill="1" applyBorder="1" applyAlignment="1">
      <alignment horizontal="center" vertical="center"/>
    </xf>
    <xf numFmtId="1" fontId="25" fillId="9" borderId="1" xfId="0" applyNumberFormat="1" applyFont="1" applyFill="1" applyBorder="1" applyAlignment="1">
      <alignment horizontal="center" vertical="center"/>
    </xf>
    <xf numFmtId="2" fontId="26" fillId="9" borderId="1" xfId="0" applyNumberFormat="1" applyFont="1" applyFill="1" applyBorder="1" applyAlignment="1">
      <alignment horizontal="center" vertical="center"/>
    </xf>
    <xf numFmtId="0" fontId="27" fillId="9" borderId="1" xfId="0" applyFont="1" applyFill="1" applyBorder="1" applyAlignment="1">
      <alignment horizontal="center" vertical="center"/>
    </xf>
    <xf numFmtId="0" fontId="28" fillId="9" borderId="1" xfId="0" applyFont="1" applyFill="1" applyBorder="1" applyAlignment="1">
      <alignment horizontal="center" vertical="center"/>
    </xf>
    <xf numFmtId="166" fontId="29" fillId="9" borderId="1" xfId="0" applyNumberFormat="1" applyFont="1" applyFill="1" applyBorder="1" applyAlignment="1">
      <alignment horizontal="center" vertical="center"/>
    </xf>
    <xf numFmtId="166" fontId="30" fillId="9" borderId="1" xfId="0" applyNumberFormat="1" applyFont="1" applyFill="1" applyBorder="1" applyAlignment="1">
      <alignment horizontal="center" vertical="center"/>
    </xf>
    <xf numFmtId="0" fontId="23" fillId="9"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4"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6" borderId="1" xfId="0" applyFont="1" applyFill="1" applyBorder="1" applyAlignment="1">
      <alignment horizontal="center" vertical="center"/>
    </xf>
    <xf numFmtId="0" fontId="34" fillId="8" borderId="1" xfId="0" applyFont="1" applyFill="1" applyBorder="1" applyAlignment="1">
      <alignment horizontal="left" vertical="center"/>
    </xf>
    <xf numFmtId="0" fontId="35" fillId="8" borderId="1" xfId="0" applyFont="1" applyFill="1" applyBorder="1" applyAlignment="1">
      <alignment horizontal="center" vertical="center"/>
    </xf>
    <xf numFmtId="0" fontId="36" fillId="8" borderId="1" xfId="0" applyFont="1" applyFill="1" applyBorder="1" applyAlignment="1">
      <alignment horizontal="center" vertical="center"/>
    </xf>
    <xf numFmtId="0" fontId="37" fillId="8" borderId="1" xfId="0" applyFont="1" applyFill="1" applyBorder="1" applyAlignment="1">
      <alignment horizontal="center" vertical="center"/>
    </xf>
    <xf numFmtId="164" fontId="35" fillId="8" borderId="1" xfId="0" applyNumberFormat="1" applyFont="1" applyFill="1" applyBorder="1" applyAlignment="1">
      <alignment horizontal="center" vertical="center"/>
    </xf>
    <xf numFmtId="0" fontId="38" fillId="8" borderId="1" xfId="0" applyFont="1" applyFill="1" applyBorder="1" applyAlignment="1">
      <alignment horizontal="left" vertical="center"/>
    </xf>
    <xf numFmtId="2" fontId="36" fillId="8" borderId="1" xfId="0" applyNumberFormat="1" applyFont="1" applyFill="1" applyBorder="1" applyAlignment="1">
      <alignment horizontal="center" vertical="center"/>
    </xf>
    <xf numFmtId="0" fontId="18" fillId="8" borderId="1" xfId="0" applyFont="1" applyFill="1" applyBorder="1" applyAlignment="1">
      <alignment horizontal="center" vertical="center"/>
    </xf>
    <xf numFmtId="0" fontId="39" fillId="8" borderId="1" xfId="0" applyFont="1" applyFill="1" applyBorder="1" applyAlignment="1">
      <alignment horizontal="center" vertical="center"/>
    </xf>
    <xf numFmtId="0" fontId="40" fillId="8" borderId="1" xfId="0" applyFont="1" applyFill="1" applyBorder="1" applyAlignment="1">
      <alignment horizontal="center" vertical="center"/>
    </xf>
    <xf numFmtId="1" fontId="41" fillId="8" borderId="1" xfId="0" applyNumberFormat="1" applyFont="1" applyFill="1" applyBorder="1" applyAlignment="1">
      <alignment horizontal="center" vertical="center"/>
    </xf>
    <xf numFmtId="0" fontId="34" fillId="9" borderId="1" xfId="0" applyFont="1" applyFill="1" applyBorder="1" applyAlignment="1">
      <alignment horizontal="left" vertical="center"/>
    </xf>
    <xf numFmtId="0" fontId="35" fillId="9" borderId="1" xfId="0" applyFont="1" applyFill="1" applyBorder="1" applyAlignment="1">
      <alignment horizontal="center" vertical="center"/>
    </xf>
    <xf numFmtId="0" fontId="36" fillId="9" borderId="1" xfId="0" applyFont="1" applyFill="1" applyBorder="1" applyAlignment="1">
      <alignment horizontal="center" vertical="center"/>
    </xf>
    <xf numFmtId="0" fontId="37" fillId="9" borderId="1" xfId="0" applyFont="1" applyFill="1" applyBorder="1" applyAlignment="1">
      <alignment horizontal="center" vertical="center"/>
    </xf>
    <xf numFmtId="164" fontId="35" fillId="9" borderId="1" xfId="0" applyNumberFormat="1" applyFont="1" applyFill="1" applyBorder="1" applyAlignment="1">
      <alignment horizontal="center" vertical="center"/>
    </xf>
    <xf numFmtId="0" fontId="38" fillId="9" borderId="1" xfId="0" applyFont="1" applyFill="1" applyBorder="1" applyAlignment="1">
      <alignment horizontal="left" vertical="center"/>
    </xf>
    <xf numFmtId="2" fontId="36" fillId="9" borderId="1" xfId="0" applyNumberFormat="1" applyFont="1" applyFill="1" applyBorder="1" applyAlignment="1">
      <alignment horizontal="center" vertical="center"/>
    </xf>
    <xf numFmtId="0" fontId="18" fillId="9" borderId="1" xfId="0" applyFont="1" applyFill="1" applyBorder="1" applyAlignment="1">
      <alignment horizontal="center" vertical="center"/>
    </xf>
    <xf numFmtId="0" fontId="39" fillId="9" borderId="1" xfId="0" applyFont="1" applyFill="1" applyBorder="1" applyAlignment="1">
      <alignment horizontal="center" vertical="center"/>
    </xf>
    <xf numFmtId="0" fontId="40" fillId="9" borderId="1" xfId="0" applyFont="1" applyFill="1" applyBorder="1" applyAlignment="1">
      <alignment horizontal="center" vertical="center"/>
    </xf>
    <xf numFmtId="1" fontId="41" fillId="9" borderId="1" xfId="0" applyNumberFormat="1" applyFont="1" applyFill="1" applyBorder="1" applyAlignment="1">
      <alignment horizontal="center" vertical="center"/>
    </xf>
    <xf numFmtId="166" fontId="36" fillId="8" borderId="1" xfId="0" applyNumberFormat="1" applyFont="1" applyFill="1" applyBorder="1" applyAlignment="1">
      <alignment horizontal="center" vertical="center"/>
    </xf>
    <xf numFmtId="0" fontId="35" fillId="8" borderId="1" xfId="0" applyFont="1" applyFill="1" applyBorder="1" applyAlignment="1">
      <alignment horizontal="left" vertical="center"/>
    </xf>
    <xf numFmtId="1" fontId="13" fillId="8" borderId="1" xfId="0" applyNumberFormat="1" applyFont="1" applyFill="1" applyBorder="1" applyAlignment="1">
      <alignment horizontal="center" vertical="center"/>
    </xf>
    <xf numFmtId="164" fontId="40" fillId="8" borderId="1" xfId="0" applyNumberFormat="1" applyFont="1" applyFill="1" applyBorder="1" applyAlignment="1">
      <alignment horizontal="center" vertical="center"/>
    </xf>
    <xf numFmtId="2" fontId="41" fillId="8" borderId="1" xfId="0" applyNumberFormat="1" applyFont="1" applyFill="1" applyBorder="1" applyAlignment="1">
      <alignment horizontal="center" vertical="center"/>
    </xf>
    <xf numFmtId="164" fontId="41" fillId="8" borderId="1" xfId="0" applyNumberFormat="1" applyFont="1" applyFill="1" applyBorder="1" applyAlignment="1">
      <alignment horizontal="center" vertical="center"/>
    </xf>
    <xf numFmtId="0" fontId="35" fillId="9" borderId="1" xfId="0" applyFont="1" applyFill="1" applyBorder="1" applyAlignment="1">
      <alignment horizontal="left" vertical="center"/>
    </xf>
    <xf numFmtId="1" fontId="13" fillId="9" borderId="1" xfId="0" applyNumberFormat="1" applyFont="1" applyFill="1" applyBorder="1" applyAlignment="1">
      <alignment horizontal="center" vertical="center"/>
    </xf>
    <xf numFmtId="164" fontId="40" fillId="9" borderId="1" xfId="0" applyNumberFormat="1" applyFont="1" applyFill="1" applyBorder="1" applyAlignment="1">
      <alignment horizontal="center" vertical="center"/>
    </xf>
    <xf numFmtId="2" fontId="41" fillId="9" borderId="1" xfId="0" applyNumberFormat="1" applyFont="1" applyFill="1" applyBorder="1" applyAlignment="1">
      <alignment horizontal="center" vertical="center"/>
    </xf>
    <xf numFmtId="164" fontId="41" fillId="9" borderId="1" xfId="0" applyNumberFormat="1" applyFont="1" applyFill="1" applyBorder="1" applyAlignment="1">
      <alignment horizontal="center" vertical="center"/>
    </xf>
    <xf numFmtId="0" fontId="42" fillId="8" borderId="1" xfId="0" applyFont="1" applyFill="1" applyBorder="1" applyAlignment="1">
      <alignment horizontal="left" vertical="center"/>
    </xf>
    <xf numFmtId="164" fontId="42" fillId="8" borderId="1" xfId="0" applyNumberFormat="1" applyFont="1" applyFill="1" applyBorder="1" applyAlignment="1">
      <alignment horizontal="center" vertical="center"/>
    </xf>
    <xf numFmtId="167" fontId="42" fillId="8" borderId="1" xfId="0" applyNumberFormat="1" applyFont="1" applyFill="1" applyBorder="1" applyAlignment="1">
      <alignment horizontal="center" vertical="center"/>
    </xf>
    <xf numFmtId="0" fontId="43" fillId="8" borderId="1" xfId="0" applyFont="1" applyFill="1" applyBorder="1" applyAlignment="1">
      <alignment horizontal="center" vertical="center"/>
    </xf>
    <xf numFmtId="1" fontId="35" fillId="8" borderId="1" xfId="0" applyNumberFormat="1" applyFont="1" applyFill="1" applyBorder="1" applyAlignment="1">
      <alignment horizontal="center" vertical="center"/>
    </xf>
    <xf numFmtId="166" fontId="43" fillId="8" borderId="1" xfId="0" applyNumberFormat="1" applyFont="1" applyFill="1" applyBorder="1" applyAlignment="1">
      <alignment horizontal="center" vertical="center"/>
    </xf>
    <xf numFmtId="0" fontId="43" fillId="9" borderId="1" xfId="0" applyFont="1" applyFill="1" applyBorder="1" applyAlignment="1">
      <alignment horizontal="center" vertical="center"/>
    </xf>
    <xf numFmtId="1" fontId="35" fillId="9" borderId="1" xfId="0" applyNumberFormat="1" applyFont="1" applyFill="1" applyBorder="1" applyAlignment="1">
      <alignment horizontal="center" vertical="center"/>
    </xf>
    <xf numFmtId="166" fontId="36" fillId="9" borderId="1" xfId="0" applyNumberFormat="1" applyFont="1" applyFill="1" applyBorder="1" applyAlignment="1">
      <alignment horizontal="center" vertical="center"/>
    </xf>
    <xf numFmtId="166" fontId="43" fillId="9" borderId="1" xfId="0" applyNumberFormat="1" applyFont="1" applyFill="1" applyBorder="1" applyAlignment="1">
      <alignment horizontal="center" vertical="center"/>
    </xf>
    <xf numFmtId="0" fontId="0" fillId="9" borderId="0" xfId="0" applyFill="1"/>
    <xf numFmtId="0" fontId="44" fillId="9" borderId="0" xfId="0" applyFont="1" applyFill="1" applyAlignment="1">
      <alignment horizontal="left" vertical="top" wrapText="1"/>
    </xf>
    <xf numFmtId="0" fontId="45" fillId="3" borderId="0" xfId="0" applyFont="1" applyFill="1" applyAlignment="1">
      <alignment horizontal="left" vertical="center"/>
    </xf>
    <xf numFmtId="0" fontId="0" fillId="10" borderId="0" xfId="0" applyFill="1"/>
    <xf numFmtId="0" fontId="46" fillId="10" borderId="0" xfId="0" applyFont="1" applyFill="1" applyAlignment="1">
      <alignment horizontal="left" vertical="top" wrapText="1"/>
    </xf>
    <xf numFmtId="0" fontId="0" fillId="11" borderId="0" xfId="0" applyFill="1"/>
    <xf numFmtId="0" fontId="47" fillId="11" borderId="0" xfId="0" applyFont="1" applyFill="1" applyAlignment="1">
      <alignment horizontal="left" vertical="top" wrapText="1"/>
    </xf>
    <xf numFmtId="0" fontId="48" fillId="9" borderId="0" xfId="0" applyFont="1" applyFill="1" applyAlignment="1">
      <alignment horizontal="left" vertical="top" wrapText="1"/>
    </xf>
    <xf numFmtId="0" fontId="50" fillId="9" borderId="0" xfId="0" applyFont="1" applyFill="1" applyAlignment="1">
      <alignment horizontal="left" vertical="top" wrapText="1"/>
    </xf>
    <xf numFmtId="0" fontId="51" fillId="9" borderId="0" xfId="0" applyFont="1" applyFill="1" applyAlignment="1">
      <alignment horizontal="left"/>
    </xf>
    <xf numFmtId="0" fontId="49" fillId="2" borderId="0" xfId="0" applyFont="1" applyFill="1" applyAlignment="1">
      <alignment horizontal="left" vertical="center"/>
    </xf>
    <xf numFmtId="0" fontId="1" fillId="2" borderId="0" xfId="0" applyFont="1" applyFill="1" applyAlignment="1">
      <alignment horizontal="left" vertical="center"/>
    </xf>
    <xf numFmtId="1" fontId="2" fillId="2" borderId="0" xfId="0" applyNumberFormat="1" applyFont="1" applyFill="1" applyAlignment="1">
      <alignment horizontal="center" vertical="center"/>
    </xf>
    <xf numFmtId="1" fontId="3" fillId="2" borderId="0" xfId="0" applyNumberFormat="1" applyFont="1" applyFill="1" applyAlignment="1">
      <alignment horizontal="center" vertical="center"/>
    </xf>
    <xf numFmtId="164" fontId="4" fillId="2" borderId="0" xfId="0" applyNumberFormat="1" applyFont="1" applyFill="1" applyAlignment="1">
      <alignment horizontal="center" vertical="center"/>
    </xf>
    <xf numFmtId="2" fontId="5" fillId="2" borderId="0" xfId="0" applyNumberFormat="1" applyFont="1" applyFill="1" applyAlignment="1">
      <alignment horizontal="center" vertical="center"/>
    </xf>
    <xf numFmtId="1" fontId="6" fillId="2" borderId="0" xfId="0" applyNumberFormat="1" applyFont="1" applyFill="1" applyAlignment="1">
      <alignment horizontal="center" vertical="center"/>
    </xf>
    <xf numFmtId="0" fontId="7" fillId="2" borderId="0" xfId="0" applyFont="1" applyFill="1" applyAlignment="1">
      <alignment horizontal="center" vertical="center"/>
    </xf>
    <xf numFmtId="0" fontId="8" fillId="3" borderId="0" xfId="0" applyFont="1" applyFill="1" applyAlignment="1">
      <alignment horizontal="left" vertical="center"/>
    </xf>
    <xf numFmtId="0" fontId="8" fillId="12" borderId="0" xfId="0" applyFont="1" applyFill="1" applyAlignment="1">
      <alignment horizontal="left" vertical="center"/>
    </xf>
    <xf numFmtId="0" fontId="8" fillId="4" borderId="0" xfId="0" applyFont="1" applyFill="1" applyAlignment="1">
      <alignment horizontal="left" vertical="center"/>
    </xf>
    <xf numFmtId="0" fontId="8" fillId="5" borderId="0" xfId="0" applyFont="1" applyFill="1" applyAlignment="1">
      <alignment horizontal="left" vertical="center"/>
    </xf>
    <xf numFmtId="0" fontId="16" fillId="8" borderId="2" xfId="0" applyFont="1" applyFill="1" applyBorder="1" applyAlignment="1">
      <alignment horizontal="left" vertical="center"/>
    </xf>
    <xf numFmtId="2" fontId="17" fillId="8" borderId="2" xfId="0" applyNumberFormat="1" applyFont="1" applyFill="1" applyBorder="1" applyAlignment="1">
      <alignment horizontal="center" vertical="center"/>
    </xf>
    <xf numFmtId="0" fontId="18" fillId="8" borderId="2" xfId="0" applyFont="1" applyFill="1" applyBorder="1" applyAlignment="1">
      <alignment horizontal="center" vertical="center"/>
    </xf>
    <xf numFmtId="0" fontId="16" fillId="9" borderId="2" xfId="0" applyFont="1" applyFill="1" applyBorder="1" applyAlignment="1">
      <alignment horizontal="left" vertical="center"/>
    </xf>
    <xf numFmtId="2" fontId="17" fillId="9" borderId="2" xfId="0" applyNumberFormat="1" applyFont="1" applyFill="1" applyBorder="1" applyAlignment="1">
      <alignment horizontal="center" vertical="center"/>
    </xf>
    <xf numFmtId="0" fontId="18" fillId="9" borderId="2" xfId="0" applyFont="1" applyFill="1" applyBorder="1" applyAlignment="1">
      <alignment horizontal="center" vertical="center"/>
    </xf>
    <xf numFmtId="0" fontId="8" fillId="6" borderId="0" xfId="0" applyFont="1" applyFill="1" applyAlignment="1">
      <alignment horizontal="left" vertical="center"/>
    </xf>
    <xf numFmtId="0" fontId="9" fillId="3"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4"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5" borderId="2" xfId="0" applyFont="1" applyFill="1" applyBorder="1" applyAlignment="1">
      <alignment horizontal="center" vertical="center"/>
    </xf>
    <xf numFmtId="0" fontId="10" fillId="8" borderId="2" xfId="0" applyFont="1" applyFill="1" applyBorder="1" applyAlignment="1">
      <alignment horizontal="center" vertical="center"/>
    </xf>
    <xf numFmtId="0" fontId="20" fillId="8" borderId="2" xfId="0" applyFont="1" applyFill="1" applyBorder="1" applyAlignment="1">
      <alignment horizontal="center" vertical="center"/>
    </xf>
    <xf numFmtId="166" fontId="10" fillId="8" borderId="2" xfId="0" applyNumberFormat="1" applyFont="1" applyFill="1" applyBorder="1" applyAlignment="1">
      <alignment horizontal="center" vertical="center"/>
    </xf>
    <xf numFmtId="166" fontId="20" fillId="8" borderId="2" xfId="0" applyNumberFormat="1" applyFont="1" applyFill="1" applyBorder="1" applyAlignment="1">
      <alignment horizontal="center" vertical="center"/>
    </xf>
    <xf numFmtId="0" fontId="13" fillId="8" borderId="2" xfId="0" applyFont="1" applyFill="1" applyBorder="1" applyAlignment="1">
      <alignment horizontal="center" vertical="center"/>
    </xf>
    <xf numFmtId="0" fontId="14" fillId="8" borderId="2" xfId="0" applyFont="1" applyFill="1" applyBorder="1" applyAlignment="1">
      <alignment horizontal="center" vertical="center"/>
    </xf>
    <xf numFmtId="0" fontId="31" fillId="8" borderId="2" xfId="0" applyFont="1" applyFill="1" applyBorder="1" applyAlignment="1">
      <alignment horizontal="center" vertical="center"/>
    </xf>
    <xf numFmtId="0" fontId="10" fillId="9" borderId="2" xfId="0" applyFont="1" applyFill="1" applyBorder="1" applyAlignment="1">
      <alignment horizontal="center" vertical="center"/>
    </xf>
    <xf numFmtId="0" fontId="20" fillId="9" borderId="2" xfId="0" applyFont="1" applyFill="1" applyBorder="1" applyAlignment="1">
      <alignment horizontal="center" vertical="center"/>
    </xf>
    <xf numFmtId="166" fontId="10" fillId="9" borderId="2" xfId="0" applyNumberFormat="1" applyFont="1" applyFill="1" applyBorder="1" applyAlignment="1">
      <alignment horizontal="center" vertical="center"/>
    </xf>
    <xf numFmtId="166" fontId="20" fillId="9" borderId="2" xfId="0" applyNumberFormat="1" applyFont="1" applyFill="1" applyBorder="1" applyAlignment="1">
      <alignment horizontal="center" vertical="center"/>
    </xf>
    <xf numFmtId="0" fontId="13" fillId="9" borderId="2" xfId="0" applyFont="1" applyFill="1" applyBorder="1" applyAlignment="1">
      <alignment horizontal="center" vertical="center"/>
    </xf>
    <xf numFmtId="0" fontId="14" fillId="9" borderId="2" xfId="0" applyFont="1" applyFill="1" applyBorder="1" applyAlignment="1">
      <alignment horizontal="center" vertical="center"/>
    </xf>
    <xf numFmtId="0" fontId="31" fillId="9" borderId="2" xfId="0" applyFont="1" applyFill="1" applyBorder="1" applyAlignment="1">
      <alignment horizontal="center" vertical="center"/>
    </xf>
    <xf numFmtId="0" fontId="33" fillId="8" borderId="2" xfId="0" applyFont="1" applyFill="1" applyBorder="1" applyAlignment="1">
      <alignment horizontal="center" vertical="center"/>
    </xf>
    <xf numFmtId="2" fontId="32" fillId="8" borderId="2" xfId="0" applyNumberFormat="1" applyFont="1" applyFill="1" applyBorder="1" applyAlignment="1">
      <alignment horizontal="center" vertical="center"/>
    </xf>
    <xf numFmtId="1" fontId="32" fillId="8" borderId="2" xfId="0" applyNumberFormat="1" applyFont="1" applyFill="1" applyBorder="1" applyAlignment="1">
      <alignment horizontal="center" vertical="center"/>
    </xf>
    <xf numFmtId="164" fontId="32" fillId="8" borderId="2" xfId="0" applyNumberFormat="1" applyFont="1" applyFill="1" applyBorder="1" applyAlignment="1">
      <alignment horizontal="center" vertical="center"/>
    </xf>
    <xf numFmtId="166" fontId="32" fillId="8" borderId="2" xfId="0" applyNumberFormat="1" applyFont="1" applyFill="1" applyBorder="1" applyAlignment="1">
      <alignment horizontal="center" vertical="center"/>
    </xf>
    <xf numFmtId="0" fontId="8" fillId="6"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A6B58"/>
      <rgbColor rgb="FF800080"/>
      <rgbColor rgb="FF4E8098"/>
      <rgbColor rgb="FFC0C0C0"/>
      <rgbColor rgb="FF878787"/>
      <rgbColor rgb="FF9999FF"/>
      <rgbColor rgb="FF8B3A3A"/>
      <rgbColor rgb="FFF4F6F0"/>
      <rgbColor rgb="FFEBF5E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0F7F0"/>
      <rgbColor rgb="FFEFF2EC"/>
      <rgbColor rgb="FFFFFF99"/>
      <rgbColor rgb="FF99CCFF"/>
      <rgbColor rgb="FFFF99CC"/>
      <rgbColor rgb="FFCC99FF"/>
      <rgbColor rgb="FFFFCC99"/>
      <rgbColor rgb="FF4F81BD"/>
      <rgbColor rgb="FF33CCCC"/>
      <rgbColor rgb="FF99CC00"/>
      <rgbColor rgb="FFFFCC00"/>
      <rgbColor rgb="FFFF9900"/>
      <rgbColor rgb="FFFF6600"/>
      <rgbColor rgb="FF5B4E8A"/>
      <rgbColor rgb="FFC9A84C"/>
      <rgbColor rgb="FF003366"/>
      <rgbColor rgb="FF2E7D55"/>
      <rgbColor rgb="FF1A1A1A"/>
      <rgbColor rgb="FF1A3A1A"/>
      <rgbColor rgb="FF993300"/>
      <rgbColor rgb="FF993366"/>
      <rgbColor rgb="FF333399"/>
      <rgbColor rgb="FF1A3A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IPL 2026 — Points per Team</a:t>
            </a:r>
          </a:p>
        </c:rich>
      </c:tx>
      <c:overlay val="0"/>
      <c:spPr>
        <a:noFill/>
        <a:ln w="0">
          <a:noFill/>
        </a:ln>
      </c:spPr>
    </c:title>
    <c:autoTitleDeleted val="0"/>
    <c:plotArea>
      <c:layout/>
      <c:barChart>
        <c:barDir val="col"/>
        <c:grouping val="clustered"/>
        <c:varyColors val="0"/>
        <c:ser>
          <c:idx val="0"/>
          <c:order val="0"/>
          <c:tx>
            <c:strRef>
              <c:f>Dashboard!$C$25</c:f>
              <c:strCache>
                <c:ptCount val="1"/>
                <c:pt idx="0">
                  <c:v>Points</c:v>
                </c:pt>
              </c:strCache>
            </c:strRef>
          </c:tx>
          <c:spPr>
            <a:solidFill>
              <a:srgbClr val="2E7D55"/>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Dashboard!$B$26:$B$35</c:f>
              <c:strCache>
                <c:ptCount val="10"/>
                <c:pt idx="0">
                  <c:v>PBKS</c:v>
                </c:pt>
                <c:pt idx="1">
                  <c:v>RCB</c:v>
                </c:pt>
                <c:pt idx="2">
                  <c:v>RR</c:v>
                </c:pt>
                <c:pt idx="3">
                  <c:v>DC</c:v>
                </c:pt>
                <c:pt idx="4">
                  <c:v>SRH</c:v>
                </c:pt>
                <c:pt idx="5">
                  <c:v>MI</c:v>
                </c:pt>
                <c:pt idx="6">
                  <c:v>LSG</c:v>
                </c:pt>
                <c:pt idx="7">
                  <c:v>GT</c:v>
                </c:pt>
                <c:pt idx="8">
                  <c:v>KKR</c:v>
                </c:pt>
                <c:pt idx="9">
                  <c:v>CSK</c:v>
                </c:pt>
              </c:strCache>
            </c:strRef>
          </c:cat>
          <c:val>
            <c:numRef>
              <c:f>Dashboard!$C$26:$C$35</c:f>
              <c:numCache>
                <c:formatCode>0</c:formatCode>
                <c:ptCount val="10"/>
                <c:pt idx="0">
                  <c:v>5</c:v>
                </c:pt>
                <c:pt idx="1">
                  <c:v>4</c:v>
                </c:pt>
                <c:pt idx="2">
                  <c:v>6</c:v>
                </c:pt>
                <c:pt idx="3">
                  <c:v>4</c:v>
                </c:pt>
                <c:pt idx="4">
                  <c:v>2</c:v>
                </c:pt>
                <c:pt idx="5">
                  <c:v>2</c:v>
                </c:pt>
                <c:pt idx="6">
                  <c:v>2</c:v>
                </c:pt>
                <c:pt idx="7">
                  <c:v>0</c:v>
                </c:pt>
                <c:pt idx="8">
                  <c:v>1</c:v>
                </c:pt>
                <c:pt idx="9">
                  <c:v>0</c:v>
                </c:pt>
              </c:numCache>
            </c:numRef>
          </c:val>
          <c:extLst>
            <c:ext xmlns:c16="http://schemas.microsoft.com/office/drawing/2014/chart" uri="{C3380CC4-5D6E-409C-BE32-E72D297353CC}">
              <c16:uniqueId val="{00000000-6974-40C3-9CFB-13A5A14A839B}"/>
            </c:ext>
          </c:extLst>
        </c:ser>
        <c:dLbls>
          <c:showLegendKey val="0"/>
          <c:showVal val="0"/>
          <c:showCatName val="0"/>
          <c:showSerName val="0"/>
          <c:showPercent val="0"/>
          <c:showBubbleSize val="0"/>
        </c:dLbls>
        <c:gapWidth val="150"/>
        <c:axId val="28235443"/>
        <c:axId val="70428250"/>
      </c:barChart>
      <c:catAx>
        <c:axId val="2823544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428250"/>
        <c:crosses val="autoZero"/>
        <c:auto val="1"/>
        <c:lblAlgn val="ctr"/>
        <c:lblOffset val="100"/>
        <c:noMultiLvlLbl val="0"/>
      </c:catAx>
      <c:valAx>
        <c:axId val="7042825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Points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823544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Team Status Distribution</a:t>
            </a:r>
          </a:p>
        </c:rich>
      </c:tx>
      <c:overlay val="0"/>
      <c:spPr>
        <a:noFill/>
        <a:ln w="0">
          <a:noFill/>
        </a:ln>
      </c:spPr>
    </c:title>
    <c:autoTitleDeleted val="0"/>
    <c:plotArea>
      <c:layout/>
      <c:pieChart>
        <c:varyColors val="1"/>
        <c:ser>
          <c:idx val="0"/>
          <c:order val="0"/>
          <c:tx>
            <c:strRef>
              <c:f>Dashboard!$F$25</c:f>
              <c:strCache>
                <c:ptCount val="1"/>
                <c:pt idx="0">
                  <c:v>Count</c:v>
                </c:pt>
              </c:strCache>
            </c:strRef>
          </c:tx>
          <c:spPr>
            <a:solidFill>
              <a:srgbClr val="4F81BD"/>
            </a:solidFill>
            <a:ln w="0">
              <a:noFill/>
            </a:ln>
          </c:spPr>
          <c:dPt>
            <c:idx val="0"/>
            <c:bubble3D val="0"/>
            <c:spPr>
              <a:solidFill>
                <a:srgbClr val="2E7D55"/>
              </a:solidFill>
              <a:ln w="0">
                <a:noFill/>
              </a:ln>
            </c:spPr>
            <c:extLst>
              <c:ext xmlns:c16="http://schemas.microsoft.com/office/drawing/2014/chart" uri="{C3380CC4-5D6E-409C-BE32-E72D297353CC}">
                <c16:uniqueId val="{00000001-7113-4DF8-AB2F-92FD394EF836}"/>
              </c:ext>
            </c:extLst>
          </c:dPt>
          <c:dPt>
            <c:idx val="1"/>
            <c:bubble3D val="0"/>
            <c:spPr>
              <a:solidFill>
                <a:srgbClr val="C9A84C"/>
              </a:solidFill>
              <a:ln w="0">
                <a:noFill/>
              </a:ln>
            </c:spPr>
            <c:extLst>
              <c:ext xmlns:c16="http://schemas.microsoft.com/office/drawing/2014/chart" uri="{C3380CC4-5D6E-409C-BE32-E72D297353CC}">
                <c16:uniqueId val="{00000003-7113-4DF8-AB2F-92FD394EF836}"/>
              </c:ext>
            </c:extLst>
          </c:dPt>
          <c:dPt>
            <c:idx val="2"/>
            <c:bubble3D val="0"/>
            <c:spPr>
              <a:solidFill>
                <a:srgbClr val="8B3A3A"/>
              </a:solidFill>
              <a:ln w="0">
                <a:noFill/>
              </a:ln>
            </c:spPr>
            <c:extLst>
              <c:ext xmlns:c16="http://schemas.microsoft.com/office/drawing/2014/chart" uri="{C3380CC4-5D6E-409C-BE32-E72D297353CC}">
                <c16:uniqueId val="{00000005-7113-4DF8-AB2F-92FD394EF836}"/>
              </c:ext>
            </c:extLst>
          </c:dPt>
          <c:dLbls>
            <c:dLbl>
              <c:idx val="0"/>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7113-4DF8-AB2F-92FD394EF836}"/>
                </c:ext>
              </c:extLst>
            </c:dLbl>
            <c:dLbl>
              <c:idx val="1"/>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7113-4DF8-AB2F-92FD394EF836}"/>
                </c:ext>
              </c:extLst>
            </c:dLbl>
            <c:dLbl>
              <c:idx val="2"/>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7113-4DF8-AB2F-92FD394EF836}"/>
                </c:ext>
              </c:extLst>
            </c:dLbl>
            <c:spPr>
              <a:noFill/>
              <a:ln>
                <a:noFill/>
              </a:ln>
              <a:effectLst/>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Dashboard!$E$26:$E$28</c:f>
              <c:strCache>
                <c:ptCount val="3"/>
                <c:pt idx="0">
                  <c:v>Strong (≥4 pts)</c:v>
                </c:pt>
                <c:pt idx="1">
                  <c:v>Mid (1-3 pts)</c:v>
                </c:pt>
                <c:pt idx="2">
                  <c:v>Struggling (0)</c:v>
                </c:pt>
              </c:strCache>
            </c:strRef>
          </c:cat>
          <c:val>
            <c:numRef>
              <c:f>Dashboard!$F$26:$F$28</c:f>
              <c:numCache>
                <c:formatCode>General</c:formatCode>
                <c:ptCount val="3"/>
                <c:pt idx="0">
                  <c:v>4</c:v>
                </c:pt>
                <c:pt idx="1">
                  <c:v>4</c:v>
                </c:pt>
                <c:pt idx="2">
                  <c:v>2</c:v>
                </c:pt>
              </c:numCache>
            </c:numRef>
          </c:val>
          <c:extLst>
            <c:ext xmlns:c16="http://schemas.microsoft.com/office/drawing/2014/chart" uri="{C3380CC4-5D6E-409C-BE32-E72D297353CC}">
              <c16:uniqueId val="{00000006-7113-4DF8-AB2F-92FD394EF836}"/>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Points vs Regression (NRR-based)</a:t>
            </a:r>
          </a:p>
        </c:rich>
      </c:tx>
      <c:overlay val="0"/>
      <c:spPr>
        <a:noFill/>
        <a:ln w="0">
          <a:noFill/>
        </a:ln>
      </c:spPr>
    </c:title>
    <c:autoTitleDeleted val="0"/>
    <c:plotArea>
      <c:layout>
        <c:manualLayout>
          <c:layoutTarget val="inner"/>
          <c:xMode val="edge"/>
          <c:yMode val="edge"/>
          <c:x val="4.410211371924392E-2"/>
          <c:y val="1.7572309707437703E-2"/>
          <c:w val="0.79350375553674213"/>
          <c:h val="0.86796340283276152"/>
        </c:manualLayout>
      </c:layout>
      <c:lineChart>
        <c:grouping val="standard"/>
        <c:varyColors val="0"/>
        <c:ser>
          <c:idx val="0"/>
          <c:order val="0"/>
          <c:tx>
            <c:strRef>
              <c:f>Dashboard!$I$25</c:f>
              <c:strCache>
                <c:ptCount val="1"/>
                <c:pt idx="0">
                  <c:v>Points</c:v>
                </c:pt>
              </c:strCache>
            </c:strRef>
          </c:tx>
          <c:spPr>
            <a:ln w="20160">
              <a:solidFill>
                <a:srgbClr val="C9A84C"/>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Dashboard!$H$26:$H$35</c:f>
              <c:strCache>
                <c:ptCount val="10"/>
                <c:pt idx="0">
                  <c:v>PBKS</c:v>
                </c:pt>
                <c:pt idx="1">
                  <c:v>RCB</c:v>
                </c:pt>
                <c:pt idx="2">
                  <c:v>RR</c:v>
                </c:pt>
                <c:pt idx="3">
                  <c:v>DC</c:v>
                </c:pt>
                <c:pt idx="4">
                  <c:v>SRH</c:v>
                </c:pt>
                <c:pt idx="5">
                  <c:v>MI</c:v>
                </c:pt>
                <c:pt idx="6">
                  <c:v>LSG</c:v>
                </c:pt>
                <c:pt idx="7">
                  <c:v>GT</c:v>
                </c:pt>
                <c:pt idx="8">
                  <c:v>KKR</c:v>
                </c:pt>
                <c:pt idx="9">
                  <c:v>CSK</c:v>
                </c:pt>
              </c:strCache>
            </c:strRef>
          </c:cat>
          <c:val>
            <c:numRef>
              <c:f>Dashboard!$I$26:$I$35</c:f>
              <c:numCache>
                <c:formatCode>0</c:formatCode>
                <c:ptCount val="10"/>
                <c:pt idx="0">
                  <c:v>5</c:v>
                </c:pt>
                <c:pt idx="1">
                  <c:v>4</c:v>
                </c:pt>
                <c:pt idx="2">
                  <c:v>6</c:v>
                </c:pt>
                <c:pt idx="3">
                  <c:v>4</c:v>
                </c:pt>
                <c:pt idx="4">
                  <c:v>2</c:v>
                </c:pt>
                <c:pt idx="5">
                  <c:v>2</c:v>
                </c:pt>
                <c:pt idx="6">
                  <c:v>2</c:v>
                </c:pt>
                <c:pt idx="7">
                  <c:v>0</c:v>
                </c:pt>
                <c:pt idx="8">
                  <c:v>1</c:v>
                </c:pt>
                <c:pt idx="9">
                  <c:v>0</c:v>
                </c:pt>
              </c:numCache>
            </c:numRef>
          </c:val>
          <c:smooth val="1"/>
          <c:extLst>
            <c:ext xmlns:c16="http://schemas.microsoft.com/office/drawing/2014/chart" uri="{C3380CC4-5D6E-409C-BE32-E72D297353CC}">
              <c16:uniqueId val="{00000000-29E8-49B4-8382-20F5764DEE41}"/>
            </c:ext>
          </c:extLst>
        </c:ser>
        <c:ser>
          <c:idx val="1"/>
          <c:order val="1"/>
          <c:tx>
            <c:strRef>
              <c:f>Dashboard!$J$25</c:f>
              <c:strCache>
                <c:ptCount val="1"/>
                <c:pt idx="0">
                  <c:v>Reg Ŷ</c:v>
                </c:pt>
              </c:strCache>
            </c:strRef>
          </c:tx>
          <c:spPr>
            <a:ln w="14040">
              <a:solidFill>
                <a:srgbClr val="5B4E8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Dashboard!$H$26:$H$35</c:f>
              <c:strCache>
                <c:ptCount val="10"/>
                <c:pt idx="0">
                  <c:v>PBKS</c:v>
                </c:pt>
                <c:pt idx="1">
                  <c:v>RCB</c:v>
                </c:pt>
                <c:pt idx="2">
                  <c:v>RR</c:v>
                </c:pt>
                <c:pt idx="3">
                  <c:v>DC</c:v>
                </c:pt>
                <c:pt idx="4">
                  <c:v>SRH</c:v>
                </c:pt>
                <c:pt idx="5">
                  <c:v>MI</c:v>
                </c:pt>
                <c:pt idx="6">
                  <c:v>LSG</c:v>
                </c:pt>
                <c:pt idx="7">
                  <c:v>GT</c:v>
                </c:pt>
                <c:pt idx="8">
                  <c:v>KKR</c:v>
                </c:pt>
                <c:pt idx="9">
                  <c:v>CSK</c:v>
                </c:pt>
              </c:strCache>
            </c:strRef>
          </c:cat>
          <c:val>
            <c:numRef>
              <c:f>Dashboard!$J$26:$J$35</c:f>
              <c:numCache>
                <c:formatCode>0.00</c:formatCode>
                <c:ptCount val="10"/>
                <c:pt idx="0">
                  <c:v>3.1574079701648792</c:v>
                </c:pt>
                <c:pt idx="1">
                  <c:v>5.1528150306360416</c:v>
                </c:pt>
                <c:pt idx="2">
                  <c:v>4.8659217408258106</c:v>
                </c:pt>
                <c:pt idx="3">
                  <c:v>3.7279830577352278</c:v>
                </c:pt>
                <c:pt idx="4">
                  <c:v>2.769887929451059</c:v>
                </c:pt>
                <c:pt idx="5">
                  <c:v>2.2549787040826956</c:v>
                </c:pt>
                <c:pt idx="6">
                  <c:v>1.8952915944698678</c:v>
                </c:pt>
                <c:pt idx="7">
                  <c:v>2.0216102817743726</c:v>
                </c:pt>
                <c:pt idx="8">
                  <c:v>0.3730443627155795</c:v>
                </c:pt>
                <c:pt idx="9">
                  <c:v>-0.2189406718555329</c:v>
                </c:pt>
              </c:numCache>
            </c:numRef>
          </c:val>
          <c:smooth val="1"/>
          <c:extLst>
            <c:ext xmlns:c16="http://schemas.microsoft.com/office/drawing/2014/chart" uri="{C3380CC4-5D6E-409C-BE32-E72D297353CC}">
              <c16:uniqueId val="{00000001-29E8-49B4-8382-20F5764DEE41}"/>
            </c:ext>
          </c:extLst>
        </c:ser>
        <c:dLbls>
          <c:showLegendKey val="0"/>
          <c:showVal val="0"/>
          <c:showCatName val="0"/>
          <c:showSerName val="0"/>
          <c:showPercent val="0"/>
          <c:showBubbleSize val="0"/>
        </c:dLbls>
        <c:hiLowLines>
          <c:spPr>
            <a:ln w="0">
              <a:noFill/>
            </a:ln>
          </c:spPr>
        </c:hiLowLines>
        <c:smooth val="0"/>
        <c:axId val="91333468"/>
        <c:axId val="80600641"/>
      </c:lineChart>
      <c:catAx>
        <c:axId val="9133346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600641"/>
        <c:crosses val="autoZero"/>
        <c:auto val="1"/>
        <c:lblAlgn val="ctr"/>
        <c:lblOffset val="100"/>
        <c:noMultiLvlLbl val="0"/>
      </c:catAx>
      <c:valAx>
        <c:axId val="8060064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Points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33346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Head-to-Head Win Probability</a:t>
            </a:r>
          </a:p>
        </c:rich>
      </c:tx>
      <c:overlay val="0"/>
      <c:spPr>
        <a:noFill/>
        <a:ln w="0">
          <a:noFill/>
        </a:ln>
      </c:spPr>
    </c:title>
    <c:autoTitleDeleted val="0"/>
    <c:plotArea>
      <c:layout/>
      <c:barChart>
        <c:barDir val="bar"/>
        <c:grouping val="clustered"/>
        <c:varyColors val="0"/>
        <c:ser>
          <c:idx val="0"/>
          <c:order val="0"/>
          <c:tx>
            <c:strRef>
              <c:f>Dashboard!$N$25</c:f>
              <c:strCache>
                <c:ptCount val="1"/>
                <c:pt idx="0">
                  <c:v>P(A wins)</c:v>
                </c:pt>
              </c:strCache>
            </c:strRef>
          </c:tx>
          <c:spPr>
            <a:solidFill>
              <a:srgbClr val="2E7D55"/>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Dashboard!$L$26:$L$35</c:f>
              <c:strCache>
                <c:ptCount val="10"/>
                <c:pt idx="0">
                  <c:v>RCB</c:v>
                </c:pt>
                <c:pt idx="1">
                  <c:v>MI</c:v>
                </c:pt>
                <c:pt idx="2">
                  <c:v>RR</c:v>
                </c:pt>
                <c:pt idx="3">
                  <c:v>PBKS</c:v>
                </c:pt>
                <c:pt idx="4">
                  <c:v>GT</c:v>
                </c:pt>
                <c:pt idx="5">
                  <c:v>RCB</c:v>
                </c:pt>
                <c:pt idx="6">
                  <c:v>RR</c:v>
                </c:pt>
                <c:pt idx="7">
                  <c:v>DC</c:v>
                </c:pt>
                <c:pt idx="8">
                  <c:v>SRH</c:v>
                </c:pt>
                <c:pt idx="9">
                  <c:v>GT</c:v>
                </c:pt>
              </c:strCache>
            </c:strRef>
          </c:cat>
          <c:val>
            <c:numRef>
              <c:f>Dashboard!$N$26:$N$35</c:f>
              <c:numCache>
                <c:formatCode>0.0%</c:formatCode>
                <c:ptCount val="10"/>
                <c:pt idx="0">
                  <c:v>0.44859813084112149</c:v>
                </c:pt>
                <c:pt idx="1">
                  <c:v>0.52293577981651373</c:v>
                </c:pt>
                <c:pt idx="2">
                  <c:v>0.52577319587628868</c:v>
                </c:pt>
                <c:pt idx="3">
                  <c:v>0.48958333333333331</c:v>
                </c:pt>
                <c:pt idx="4">
                  <c:v>0.52830188679245282</c:v>
                </c:pt>
                <c:pt idx="5">
                  <c:v>0.45714285714285713</c:v>
                </c:pt>
                <c:pt idx="6">
                  <c:v>0.52040816326530615</c:v>
                </c:pt>
                <c:pt idx="7">
                  <c:v>0.46938775510204084</c:v>
                </c:pt>
                <c:pt idx="8">
                  <c:v>0.45370370370370372</c:v>
                </c:pt>
                <c:pt idx="9">
                  <c:v>0.53846153846153844</c:v>
                </c:pt>
              </c:numCache>
            </c:numRef>
          </c:val>
          <c:extLst>
            <c:ext xmlns:c16="http://schemas.microsoft.com/office/drawing/2014/chart" uri="{C3380CC4-5D6E-409C-BE32-E72D297353CC}">
              <c16:uniqueId val="{00000000-8BEB-43EA-B5A1-96B31A96B4BA}"/>
            </c:ext>
          </c:extLst>
        </c:ser>
        <c:ser>
          <c:idx val="1"/>
          <c:order val="1"/>
          <c:tx>
            <c:strRef>
              <c:f>Dashboard!$O$25</c:f>
              <c:strCache>
                <c:ptCount val="1"/>
                <c:pt idx="0">
                  <c:v>P(B wins)</c:v>
                </c:pt>
              </c:strCache>
            </c:strRef>
          </c:tx>
          <c:spPr>
            <a:solidFill>
              <a:srgbClr val="8B3A3A"/>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Dashboard!$L$26:$L$35</c:f>
              <c:strCache>
                <c:ptCount val="10"/>
                <c:pt idx="0">
                  <c:v>RCB</c:v>
                </c:pt>
                <c:pt idx="1">
                  <c:v>MI</c:v>
                </c:pt>
                <c:pt idx="2">
                  <c:v>RR</c:v>
                </c:pt>
                <c:pt idx="3">
                  <c:v>PBKS</c:v>
                </c:pt>
                <c:pt idx="4">
                  <c:v>GT</c:v>
                </c:pt>
                <c:pt idx="5">
                  <c:v>RCB</c:v>
                </c:pt>
                <c:pt idx="6">
                  <c:v>RR</c:v>
                </c:pt>
                <c:pt idx="7">
                  <c:v>DC</c:v>
                </c:pt>
                <c:pt idx="8">
                  <c:v>SRH</c:v>
                </c:pt>
                <c:pt idx="9">
                  <c:v>GT</c:v>
                </c:pt>
              </c:strCache>
            </c:strRef>
          </c:cat>
          <c:val>
            <c:numRef>
              <c:f>Dashboard!$O$26:$O$35</c:f>
              <c:numCache>
                <c:formatCode>0.0%</c:formatCode>
                <c:ptCount val="10"/>
                <c:pt idx="0">
                  <c:v>0.55140186915887845</c:v>
                </c:pt>
                <c:pt idx="1">
                  <c:v>0.47706422018348627</c:v>
                </c:pt>
                <c:pt idx="2">
                  <c:v>0.47422680412371132</c:v>
                </c:pt>
                <c:pt idx="3">
                  <c:v>0.51041666666666663</c:v>
                </c:pt>
                <c:pt idx="4">
                  <c:v>0.47169811320754718</c:v>
                </c:pt>
                <c:pt idx="5">
                  <c:v>0.54285714285714282</c:v>
                </c:pt>
                <c:pt idx="6">
                  <c:v>0.47959183673469385</c:v>
                </c:pt>
                <c:pt idx="7">
                  <c:v>0.53061224489795922</c:v>
                </c:pt>
                <c:pt idx="8">
                  <c:v>0.54629629629629628</c:v>
                </c:pt>
                <c:pt idx="9">
                  <c:v>0.46153846153846156</c:v>
                </c:pt>
              </c:numCache>
            </c:numRef>
          </c:val>
          <c:extLst>
            <c:ext xmlns:c16="http://schemas.microsoft.com/office/drawing/2014/chart" uri="{C3380CC4-5D6E-409C-BE32-E72D297353CC}">
              <c16:uniqueId val="{00000001-8BEB-43EA-B5A1-96B31A96B4BA}"/>
            </c:ext>
          </c:extLst>
        </c:ser>
        <c:dLbls>
          <c:showLegendKey val="0"/>
          <c:showVal val="0"/>
          <c:showCatName val="0"/>
          <c:showSerName val="0"/>
          <c:showPercent val="0"/>
          <c:showBubbleSize val="0"/>
        </c:dLbls>
        <c:gapWidth val="150"/>
        <c:axId val="64190316"/>
        <c:axId val="61487465"/>
      </c:barChart>
      <c:catAx>
        <c:axId val="64190316"/>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487465"/>
        <c:crosses val="autoZero"/>
        <c:auto val="1"/>
        <c:lblAlgn val="ctr"/>
        <c:lblOffset val="100"/>
        <c:noMultiLvlLbl val="0"/>
      </c:catAx>
      <c:valAx>
        <c:axId val="61487465"/>
        <c:scaling>
          <c:orientation val="minMax"/>
        </c:scaling>
        <c:delete val="0"/>
        <c:axPos val="b"/>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419031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32</xdr:col>
      <xdr:colOff>390190</xdr:colOff>
      <xdr:row>1</xdr:row>
      <xdr:rowOff>2909</xdr:rowOff>
    </xdr:from>
    <xdr:to>
      <xdr:col>43</xdr:col>
      <xdr:colOff>395529</xdr:colOff>
      <xdr:row>29</xdr:row>
      <xdr:rowOff>107153</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34</xdr:col>
      <xdr:colOff>17069</xdr:colOff>
      <xdr:row>30</xdr:row>
      <xdr:rowOff>134719</xdr:rowOff>
    </xdr:from>
    <xdr:to>
      <xdr:col>42</xdr:col>
      <xdr:colOff>324825</xdr:colOff>
      <xdr:row>57</xdr:row>
      <xdr:rowOff>132476</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134686</xdr:colOff>
      <xdr:row>30</xdr:row>
      <xdr:rowOff>108987</xdr:rowOff>
    </xdr:from>
    <xdr:to>
      <xdr:col>33</xdr:col>
      <xdr:colOff>389805</xdr:colOff>
      <xdr:row>57</xdr:row>
      <xdr:rowOff>160462</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86786</xdr:colOff>
      <xdr:row>0</xdr:row>
      <xdr:rowOff>78530</xdr:rowOff>
    </xdr:from>
    <xdr:to>
      <xdr:col>32</xdr:col>
      <xdr:colOff>206274</xdr:colOff>
      <xdr:row>29</xdr:row>
      <xdr:rowOff>32727</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3"/>
  <sheetViews>
    <sheetView zoomScale="67" zoomScaleNormal="67" workbookViewId="0">
      <selection activeCell="B17" sqref="B17"/>
    </sheetView>
  </sheetViews>
  <sheetFormatPr defaultColWidth="8.6640625" defaultRowHeight="14.4" x14ac:dyDescent="0.3"/>
  <cols>
    <col min="1" max="1" width="18" customWidth="1"/>
    <col min="2" max="2" width="13.6640625" customWidth="1"/>
    <col min="3" max="3" width="16.88671875" customWidth="1"/>
    <col min="4" max="4" width="16.77734375" customWidth="1"/>
    <col min="5" max="5" width="8" customWidth="1"/>
    <col min="6" max="6" width="9" customWidth="1"/>
    <col min="7" max="7" width="16" customWidth="1"/>
    <col min="8" max="8" width="12.6640625" customWidth="1"/>
    <col min="9" max="9" width="6" customWidth="1"/>
    <col min="10" max="10" width="18" customWidth="1"/>
    <col min="11" max="11" width="8" customWidth="1"/>
    <col min="12" max="12" width="2" customWidth="1"/>
    <col min="13" max="13" width="12" customWidth="1"/>
    <col min="14" max="14" width="2" customWidth="1"/>
    <col min="15" max="16" width="16" customWidth="1"/>
    <col min="17" max="17" width="10" customWidth="1"/>
  </cols>
  <sheetData>
    <row r="1" spans="1:17" ht="18" customHeight="1" x14ac:dyDescent="0.3">
      <c r="A1" s="58" t="s">
        <v>7</v>
      </c>
      <c r="B1" s="58" t="s">
        <v>8</v>
      </c>
      <c r="C1" s="58" t="s">
        <v>9</v>
      </c>
      <c r="D1" s="58" t="s">
        <v>10</v>
      </c>
      <c r="E1" s="58" t="s">
        <v>11</v>
      </c>
      <c r="F1" s="58" t="s">
        <v>12</v>
      </c>
      <c r="G1" s="59" t="s">
        <v>60</v>
      </c>
      <c r="H1" s="59" t="s">
        <v>61</v>
      </c>
      <c r="I1" s="58"/>
      <c r="J1" s="60" t="s">
        <v>41</v>
      </c>
      <c r="K1" s="60" t="s">
        <v>42</v>
      </c>
      <c r="L1" s="58"/>
      <c r="M1" s="61" t="s">
        <v>62</v>
      </c>
      <c r="N1" s="58"/>
      <c r="O1" s="62" t="s">
        <v>63</v>
      </c>
      <c r="P1" s="62" t="s">
        <v>64</v>
      </c>
      <c r="Q1" s="61" t="s">
        <v>65</v>
      </c>
    </row>
    <row r="2" spans="1:17" ht="15" customHeight="1" x14ac:dyDescent="0.3">
      <c r="A2" s="63" t="s">
        <v>18</v>
      </c>
      <c r="B2" s="64">
        <v>3</v>
      </c>
      <c r="C2" s="65">
        <v>2</v>
      </c>
      <c r="D2" s="66">
        <v>0</v>
      </c>
      <c r="E2" s="67">
        <v>0.63700000000000001</v>
      </c>
      <c r="F2" s="13">
        <v>5</v>
      </c>
      <c r="G2" s="68" t="s">
        <v>19</v>
      </c>
      <c r="H2" s="69">
        <f>AVERAGE(F2:F11)</f>
        <v>2.6</v>
      </c>
      <c r="J2" s="68" t="s">
        <v>20</v>
      </c>
      <c r="K2" s="13">
        <f>COUNTIF(F2:F11,"&gt;=4")</f>
        <v>4</v>
      </c>
      <c r="M2" s="70" t="str">
        <f t="shared" ref="M2:M11" si="0">IF((C2/B2*100+E2)&gt;=65,"Favourite",IF((C2/B2*100+E2)&gt;=35,"Contender","Underdog"))</f>
        <v>Favourite</v>
      </c>
      <c r="O2" s="71" t="str">
        <f t="shared" ref="O2:O11" si="1">IF(C2/B2&gt;=0.5,"Strong","Weak")</f>
        <v>Strong</v>
      </c>
      <c r="P2" s="72" t="str">
        <f t="shared" ref="P2:P11" si="2">O2</f>
        <v>Strong</v>
      </c>
      <c r="Q2" s="73">
        <v>47</v>
      </c>
    </row>
    <row r="3" spans="1:17" ht="15" customHeight="1" x14ac:dyDescent="0.3">
      <c r="A3" s="74" t="s">
        <v>21</v>
      </c>
      <c r="B3" s="75">
        <v>2</v>
      </c>
      <c r="C3" s="76">
        <v>2</v>
      </c>
      <c r="D3" s="77">
        <v>0</v>
      </c>
      <c r="E3" s="78">
        <v>2.5009999999999999</v>
      </c>
      <c r="F3" s="22">
        <v>4</v>
      </c>
      <c r="G3" s="79" t="s">
        <v>22</v>
      </c>
      <c r="H3" s="80">
        <f>MAX(F2:F11)</f>
        <v>6</v>
      </c>
      <c r="J3" s="79" t="s">
        <v>23</v>
      </c>
      <c r="K3" s="22">
        <f>COUNTIFS(F2:F11,"&gt;=1",F2:F11,"&lt;=3")</f>
        <v>4</v>
      </c>
      <c r="M3" s="81" t="str">
        <f t="shared" si="0"/>
        <v>Favourite</v>
      </c>
      <c r="O3" s="82" t="str">
        <f t="shared" si="1"/>
        <v>Strong</v>
      </c>
      <c r="P3" s="83" t="str">
        <f t="shared" si="2"/>
        <v>Strong</v>
      </c>
      <c r="Q3" s="84">
        <v>48</v>
      </c>
    </row>
    <row r="4" spans="1:17" ht="15" customHeight="1" x14ac:dyDescent="0.3">
      <c r="A4" s="63" t="s">
        <v>24</v>
      </c>
      <c r="B4" s="64">
        <v>3</v>
      </c>
      <c r="C4" s="65">
        <v>3</v>
      </c>
      <c r="D4" s="66">
        <v>0</v>
      </c>
      <c r="E4" s="67">
        <v>2.2330000000000001</v>
      </c>
      <c r="F4" s="13">
        <v>6</v>
      </c>
      <c r="G4" s="68" t="s">
        <v>25</v>
      </c>
      <c r="H4" s="69">
        <f>MIN(F2:F11)</f>
        <v>0</v>
      </c>
      <c r="J4" s="68" t="s">
        <v>26</v>
      </c>
      <c r="K4" s="13">
        <f>COUNTIF(F2:F11,0)</f>
        <v>2</v>
      </c>
      <c r="M4" s="70" t="str">
        <f t="shared" si="0"/>
        <v>Favourite</v>
      </c>
      <c r="O4" s="71" t="str">
        <f t="shared" si="1"/>
        <v>Strong</v>
      </c>
      <c r="P4" s="72" t="str">
        <f t="shared" si="2"/>
        <v>Strong</v>
      </c>
      <c r="Q4" s="73">
        <v>51</v>
      </c>
    </row>
    <row r="5" spans="1:17" ht="15" customHeight="1" x14ac:dyDescent="0.3">
      <c r="A5" s="74" t="s">
        <v>27</v>
      </c>
      <c r="B5" s="75">
        <v>2</v>
      </c>
      <c r="C5" s="76">
        <v>2</v>
      </c>
      <c r="D5" s="77">
        <v>0</v>
      </c>
      <c r="E5" s="78">
        <v>1.17</v>
      </c>
      <c r="F5" s="22">
        <v>4</v>
      </c>
      <c r="G5" s="79" t="s">
        <v>28</v>
      </c>
      <c r="H5" s="80">
        <f>AVERAGE(E2:E11)</f>
        <v>0.11630000000000003</v>
      </c>
      <c r="M5" s="81" t="str">
        <f t="shared" si="0"/>
        <v>Favourite</v>
      </c>
      <c r="O5" s="82" t="str">
        <f t="shared" si="1"/>
        <v>Strong</v>
      </c>
      <c r="P5" s="83" t="str">
        <f t="shared" si="2"/>
        <v>Strong</v>
      </c>
      <c r="Q5" s="84">
        <v>46</v>
      </c>
    </row>
    <row r="6" spans="1:17" ht="15" customHeight="1" x14ac:dyDescent="0.3">
      <c r="A6" s="63" t="s">
        <v>29</v>
      </c>
      <c r="B6" s="64">
        <v>3</v>
      </c>
      <c r="C6" s="65">
        <v>1</v>
      </c>
      <c r="D6" s="66">
        <v>2</v>
      </c>
      <c r="E6" s="67">
        <v>0.27500000000000002</v>
      </c>
      <c r="F6" s="13">
        <v>2</v>
      </c>
      <c r="G6" s="68" t="s">
        <v>66</v>
      </c>
      <c r="H6" s="69">
        <f>STDEV(F2:F11)</f>
        <v>2.0655911179772892</v>
      </c>
      <c r="M6" s="70" t="str">
        <f t="shared" si="0"/>
        <v>Underdog</v>
      </c>
      <c r="O6" s="71" t="str">
        <f t="shared" si="1"/>
        <v>Weak</v>
      </c>
      <c r="P6" s="72" t="str">
        <f t="shared" si="2"/>
        <v>Weak</v>
      </c>
      <c r="Q6" s="73">
        <v>49</v>
      </c>
    </row>
    <row r="7" spans="1:17" ht="15" customHeight="1" x14ac:dyDescent="0.3">
      <c r="A7" s="74" t="s">
        <v>30</v>
      </c>
      <c r="B7" s="75">
        <v>3</v>
      </c>
      <c r="C7" s="76">
        <v>1</v>
      </c>
      <c r="D7" s="77">
        <v>2</v>
      </c>
      <c r="E7" s="78">
        <v>-0.20599999999999999</v>
      </c>
      <c r="F7" s="22">
        <v>2</v>
      </c>
      <c r="G7" s="79" t="s">
        <v>31</v>
      </c>
      <c r="H7" s="80">
        <f>VAR(F2:F11)</f>
        <v>4.2666666666666675</v>
      </c>
      <c r="M7" s="81" t="str">
        <f t="shared" si="0"/>
        <v>Underdog</v>
      </c>
      <c r="O7" s="82" t="str">
        <f t="shared" si="1"/>
        <v>Weak</v>
      </c>
      <c r="P7" s="83" t="str">
        <f t="shared" si="2"/>
        <v>Weak</v>
      </c>
      <c r="Q7" s="84">
        <v>57</v>
      </c>
    </row>
    <row r="8" spans="1:17" ht="15" customHeight="1" x14ac:dyDescent="0.3">
      <c r="A8" s="63" t="s">
        <v>32</v>
      </c>
      <c r="B8" s="64">
        <v>2</v>
      </c>
      <c r="C8" s="65">
        <v>1</v>
      </c>
      <c r="D8" s="66">
        <v>1</v>
      </c>
      <c r="E8" s="67">
        <v>-0.54200000000000004</v>
      </c>
      <c r="F8" s="13">
        <v>2</v>
      </c>
      <c r="G8" s="68" t="s">
        <v>33</v>
      </c>
      <c r="H8" s="69">
        <f>MEDIAN(F2:F11)</f>
        <v>2</v>
      </c>
      <c r="M8" s="70" t="str">
        <f t="shared" si="0"/>
        <v>Contender</v>
      </c>
      <c r="O8" s="71" t="str">
        <f t="shared" si="1"/>
        <v>Strong</v>
      </c>
      <c r="P8" s="72" t="str">
        <f t="shared" si="2"/>
        <v>Strong</v>
      </c>
      <c r="Q8" s="73">
        <v>50</v>
      </c>
    </row>
    <row r="9" spans="1:17" ht="15" customHeight="1" x14ac:dyDescent="0.3">
      <c r="A9" s="74" t="s">
        <v>34</v>
      </c>
      <c r="B9" s="75">
        <v>3</v>
      </c>
      <c r="C9" s="76">
        <v>0</v>
      </c>
      <c r="D9" s="77">
        <v>3</v>
      </c>
      <c r="E9" s="78">
        <v>-0.42399999999999999</v>
      </c>
      <c r="F9" s="22">
        <v>0</v>
      </c>
      <c r="G9" s="79" t="s">
        <v>67</v>
      </c>
      <c r="H9" s="80">
        <f>LARGE(F2:F11,4)</f>
        <v>4</v>
      </c>
      <c r="M9" s="81" t="str">
        <f t="shared" si="0"/>
        <v>Underdog</v>
      </c>
      <c r="O9" s="82" t="str">
        <f t="shared" si="1"/>
        <v>Weak</v>
      </c>
      <c r="P9" s="83" t="str">
        <f t="shared" si="2"/>
        <v>Weak</v>
      </c>
      <c r="Q9" s="84">
        <v>56</v>
      </c>
    </row>
    <row r="10" spans="1:17" ht="15" customHeight="1" x14ac:dyDescent="0.3">
      <c r="A10" s="63" t="s">
        <v>36</v>
      </c>
      <c r="B10" s="64">
        <v>3</v>
      </c>
      <c r="C10" s="65">
        <v>0</v>
      </c>
      <c r="D10" s="66">
        <v>2</v>
      </c>
      <c r="E10" s="67">
        <v>-1.964</v>
      </c>
      <c r="F10" s="13">
        <v>1</v>
      </c>
      <c r="G10" s="68" t="s">
        <v>37</v>
      </c>
      <c r="H10" s="69">
        <f>AVERAGE(Q2:Q11)</f>
        <v>51.5</v>
      </c>
      <c r="M10" s="70" t="str">
        <f t="shared" si="0"/>
        <v>Underdog</v>
      </c>
      <c r="O10" s="71" t="str">
        <f t="shared" si="1"/>
        <v>Weak</v>
      </c>
      <c r="P10" s="72" t="str">
        <f t="shared" si="2"/>
        <v>Weak</v>
      </c>
      <c r="Q10" s="73">
        <v>52</v>
      </c>
    </row>
    <row r="11" spans="1:17" ht="15" customHeight="1" x14ac:dyDescent="0.3">
      <c r="A11" s="74" t="s">
        <v>38</v>
      </c>
      <c r="B11" s="75">
        <v>3</v>
      </c>
      <c r="C11" s="76">
        <v>0</v>
      </c>
      <c r="D11" s="77">
        <v>3</v>
      </c>
      <c r="E11" s="78">
        <v>-2.5169999999999999</v>
      </c>
      <c r="F11" s="22">
        <v>0</v>
      </c>
      <c r="G11" s="79" t="s">
        <v>68</v>
      </c>
      <c r="H11" s="80">
        <f>MAX(Q2:Q11)</f>
        <v>59</v>
      </c>
      <c r="M11" s="81" t="str">
        <f t="shared" si="0"/>
        <v>Underdog</v>
      </c>
      <c r="O11" s="82" t="str">
        <f t="shared" si="1"/>
        <v>Weak</v>
      </c>
      <c r="P11" s="83" t="str">
        <f t="shared" si="2"/>
        <v>Weak</v>
      </c>
      <c r="Q11" s="84">
        <v>59</v>
      </c>
    </row>
    <row r="12" spans="1:17" ht="15" customHeight="1" x14ac:dyDescent="0.3">
      <c r="G12" s="68" t="s">
        <v>69</v>
      </c>
      <c r="H12" s="69">
        <f>MIN(Q2:Q11)</f>
        <v>46</v>
      </c>
    </row>
    <row r="14" spans="1:17" ht="15.75" customHeight="1" x14ac:dyDescent="0.3">
      <c r="G14" s="68" t="s">
        <v>70</v>
      </c>
      <c r="H14" s="85">
        <v>1</v>
      </c>
    </row>
    <row r="16" spans="1:17" ht="15.75" customHeight="1" x14ac:dyDescent="0.3">
      <c r="A16" s="58" t="s">
        <v>7</v>
      </c>
      <c r="B16" s="58" t="s">
        <v>12</v>
      </c>
      <c r="C16" s="58" t="s">
        <v>11</v>
      </c>
      <c r="D16" s="58" t="s">
        <v>43</v>
      </c>
      <c r="G16" s="61" t="s">
        <v>71</v>
      </c>
      <c r="H16" s="61" t="s">
        <v>72</v>
      </c>
    </row>
    <row r="17" spans="1:8" ht="13.5" customHeight="1" x14ac:dyDescent="0.3">
      <c r="A17" s="86" t="s">
        <v>18</v>
      </c>
      <c r="B17" s="87">
        <f t="shared" ref="B17:B26" si="3">F2</f>
        <v>5</v>
      </c>
      <c r="C17" s="88">
        <f t="shared" ref="C17:C26" si="4">E2</f>
        <v>0.63700000000000001</v>
      </c>
      <c r="D17" s="89">
        <f t="shared" ref="D17:D26" si="5">SLOPE($G$17:$G$26,$H$17:$H$26)*C17+INTERCEPT($G$17:$G$26,$H$17:$H$26)</f>
        <v>3.1574079701648792</v>
      </c>
      <c r="G17" s="73">
        <v>5</v>
      </c>
      <c r="H17" s="90">
        <v>0.63700000000000001</v>
      </c>
    </row>
    <row r="18" spans="1:8" ht="13.5" customHeight="1" x14ac:dyDescent="0.3">
      <c r="A18" s="91" t="s">
        <v>21</v>
      </c>
      <c r="B18" s="92">
        <f t="shared" si="3"/>
        <v>4</v>
      </c>
      <c r="C18" s="93">
        <f t="shared" si="4"/>
        <v>2.5009999999999999</v>
      </c>
      <c r="D18" s="94">
        <f t="shared" si="5"/>
        <v>5.1528150306360416</v>
      </c>
      <c r="G18" s="84">
        <v>4</v>
      </c>
      <c r="H18" s="95">
        <v>2.5009999999999999</v>
      </c>
    </row>
    <row r="19" spans="1:8" ht="13.5" customHeight="1" x14ac:dyDescent="0.3">
      <c r="A19" s="86" t="s">
        <v>24</v>
      </c>
      <c r="B19" s="87">
        <f t="shared" si="3"/>
        <v>6</v>
      </c>
      <c r="C19" s="88">
        <f t="shared" si="4"/>
        <v>2.2330000000000001</v>
      </c>
      <c r="D19" s="89">
        <f t="shared" si="5"/>
        <v>4.8659217408258106</v>
      </c>
      <c r="G19" s="73">
        <v>6</v>
      </c>
      <c r="H19" s="90">
        <v>2.2330000000000001</v>
      </c>
    </row>
    <row r="20" spans="1:8" ht="13.5" customHeight="1" x14ac:dyDescent="0.3">
      <c r="A20" s="91" t="s">
        <v>27</v>
      </c>
      <c r="B20" s="92">
        <f t="shared" si="3"/>
        <v>4</v>
      </c>
      <c r="C20" s="93">
        <f t="shared" si="4"/>
        <v>1.17</v>
      </c>
      <c r="D20" s="94">
        <f t="shared" si="5"/>
        <v>3.7279830577352278</v>
      </c>
      <c r="G20" s="84">
        <v>4</v>
      </c>
      <c r="H20" s="95">
        <v>1.17</v>
      </c>
    </row>
    <row r="21" spans="1:8" ht="13.5" customHeight="1" x14ac:dyDescent="0.3">
      <c r="A21" s="86" t="s">
        <v>29</v>
      </c>
      <c r="B21" s="87">
        <f t="shared" si="3"/>
        <v>2</v>
      </c>
      <c r="C21" s="88">
        <f t="shared" si="4"/>
        <v>0.27500000000000002</v>
      </c>
      <c r="D21" s="89">
        <f t="shared" si="5"/>
        <v>2.769887929451059</v>
      </c>
      <c r="G21" s="73">
        <v>2</v>
      </c>
      <c r="H21" s="90">
        <v>0.27500000000000002</v>
      </c>
    </row>
    <row r="22" spans="1:8" ht="13.5" customHeight="1" x14ac:dyDescent="0.3">
      <c r="A22" s="91" t="s">
        <v>30</v>
      </c>
      <c r="B22" s="92">
        <f t="shared" si="3"/>
        <v>2</v>
      </c>
      <c r="C22" s="93">
        <f t="shared" si="4"/>
        <v>-0.20599999999999999</v>
      </c>
      <c r="D22" s="94">
        <f t="shared" si="5"/>
        <v>2.2549787040826956</v>
      </c>
      <c r="G22" s="84">
        <v>2</v>
      </c>
      <c r="H22" s="95">
        <v>-0.20599999999999999</v>
      </c>
    </row>
    <row r="23" spans="1:8" ht="13.5" customHeight="1" x14ac:dyDescent="0.3">
      <c r="A23" s="86" t="s">
        <v>32</v>
      </c>
      <c r="B23" s="87">
        <f t="shared" si="3"/>
        <v>2</v>
      </c>
      <c r="C23" s="88">
        <f t="shared" si="4"/>
        <v>-0.54200000000000004</v>
      </c>
      <c r="D23" s="89">
        <f t="shared" si="5"/>
        <v>1.8952915944698678</v>
      </c>
      <c r="G23" s="73">
        <v>2</v>
      </c>
      <c r="H23" s="90">
        <v>-0.54200000000000004</v>
      </c>
    </row>
    <row r="24" spans="1:8" ht="13.5" customHeight="1" x14ac:dyDescent="0.3">
      <c r="A24" s="91" t="s">
        <v>34</v>
      </c>
      <c r="B24" s="92">
        <f t="shared" si="3"/>
        <v>0</v>
      </c>
      <c r="C24" s="93">
        <f t="shared" si="4"/>
        <v>-0.42399999999999999</v>
      </c>
      <c r="D24" s="94">
        <f t="shared" si="5"/>
        <v>2.0216102817743726</v>
      </c>
      <c r="G24" s="84">
        <v>0</v>
      </c>
      <c r="H24" s="95">
        <v>-0.42399999999999999</v>
      </c>
    </row>
    <row r="25" spans="1:8" ht="13.5" customHeight="1" x14ac:dyDescent="0.3">
      <c r="A25" s="86" t="s">
        <v>36</v>
      </c>
      <c r="B25" s="87">
        <f t="shared" si="3"/>
        <v>1</v>
      </c>
      <c r="C25" s="88">
        <f t="shared" si="4"/>
        <v>-1.964</v>
      </c>
      <c r="D25" s="89">
        <f t="shared" si="5"/>
        <v>0.3730443627155795</v>
      </c>
      <c r="G25" s="73">
        <v>1</v>
      </c>
      <c r="H25" s="90">
        <v>-1.964</v>
      </c>
    </row>
    <row r="26" spans="1:8" ht="13.5" customHeight="1" x14ac:dyDescent="0.3">
      <c r="A26" s="91" t="s">
        <v>38</v>
      </c>
      <c r="B26" s="92">
        <f t="shared" si="3"/>
        <v>0</v>
      </c>
      <c r="C26" s="93">
        <f t="shared" si="4"/>
        <v>-2.5169999999999999</v>
      </c>
      <c r="D26" s="94">
        <f t="shared" si="5"/>
        <v>-0.2189406718555329</v>
      </c>
      <c r="G26" s="84">
        <v>0</v>
      </c>
      <c r="H26" s="95">
        <v>-2.5169999999999999</v>
      </c>
    </row>
    <row r="29" spans="1:8" ht="15" customHeight="1" x14ac:dyDescent="0.3">
      <c r="A29" s="96" t="s">
        <v>73</v>
      </c>
      <c r="B29" s="96" t="s">
        <v>73</v>
      </c>
    </row>
    <row r="30" spans="1:8" ht="15" customHeight="1" x14ac:dyDescent="0.3">
      <c r="A30" s="96" t="s">
        <v>74</v>
      </c>
      <c r="B30" s="97">
        <f>INTERCEPT($G$17:$G$26,$H$17:$H$26)</f>
        <v>2.4755011581905602</v>
      </c>
    </row>
    <row r="31" spans="1:8" ht="15" customHeight="1" x14ac:dyDescent="0.3">
      <c r="A31" s="96" t="s">
        <v>75</v>
      </c>
      <c r="B31" s="98">
        <f>CORREL($H$17:$H$26,$G$17:$G$26)^2</f>
        <v>0.70622717364549925</v>
      </c>
    </row>
    <row r="33" spans="1:8" ht="15.75" customHeight="1" x14ac:dyDescent="0.3">
      <c r="A33" s="62" t="s">
        <v>44</v>
      </c>
      <c r="B33" s="62" t="s">
        <v>45</v>
      </c>
      <c r="C33" s="62" t="s">
        <v>76</v>
      </c>
      <c r="D33" s="62" t="s">
        <v>77</v>
      </c>
      <c r="E33" s="62" t="s">
        <v>46</v>
      </c>
      <c r="F33" s="62" t="s">
        <v>47</v>
      </c>
      <c r="G33" s="159" t="s">
        <v>50</v>
      </c>
      <c r="H33" s="159"/>
    </row>
    <row r="34" spans="1:8" ht="15.75" customHeight="1" x14ac:dyDescent="0.3">
      <c r="A34" s="65" t="s">
        <v>21</v>
      </c>
      <c r="B34" s="99" t="s">
        <v>38</v>
      </c>
      <c r="C34" s="100">
        <v>48</v>
      </c>
      <c r="D34" s="100">
        <v>59</v>
      </c>
      <c r="E34" s="85">
        <f t="shared" ref="E34:E43" si="6">C34/(C34+D34)</f>
        <v>0.44859813084112149</v>
      </c>
      <c r="F34" s="101">
        <f t="shared" ref="F34:F43" si="7">D34/(C34+D34)</f>
        <v>0.55140186915887845</v>
      </c>
      <c r="G34" s="144" t="str">
        <f>IF(E34&gt;F34,"RCB wins","CSK wins")</f>
        <v>CSK wins</v>
      </c>
      <c r="H34" s="144"/>
    </row>
    <row r="35" spans="1:8" ht="15.75" customHeight="1" x14ac:dyDescent="0.3">
      <c r="A35" s="76" t="s">
        <v>30</v>
      </c>
      <c r="B35" s="102" t="s">
        <v>36</v>
      </c>
      <c r="C35" s="103">
        <v>57</v>
      </c>
      <c r="D35" s="103">
        <v>52</v>
      </c>
      <c r="E35" s="104">
        <f t="shared" si="6"/>
        <v>0.52293577981651373</v>
      </c>
      <c r="F35" s="105">
        <f t="shared" si="7"/>
        <v>0.47706422018348627</v>
      </c>
      <c r="G35" s="151" t="str">
        <f>IF(E35&gt;F35,"MI wins","KKR wins")</f>
        <v>MI wins</v>
      </c>
      <c r="H35" s="151"/>
    </row>
    <row r="36" spans="1:8" ht="15.75" customHeight="1" x14ac:dyDescent="0.3">
      <c r="A36" s="65" t="s">
        <v>24</v>
      </c>
      <c r="B36" s="99" t="s">
        <v>27</v>
      </c>
      <c r="C36" s="100">
        <v>51</v>
      </c>
      <c r="D36" s="100">
        <v>46</v>
      </c>
      <c r="E36" s="85">
        <f t="shared" si="6"/>
        <v>0.52577319587628868</v>
      </c>
      <c r="F36" s="101">
        <f t="shared" si="7"/>
        <v>0.47422680412371132</v>
      </c>
      <c r="G36" s="144" t="str">
        <f>IF(E36&gt;F36,"RR wins","DC wins")</f>
        <v>RR wins</v>
      </c>
      <c r="H36" s="144"/>
    </row>
    <row r="37" spans="1:8" ht="15.75" customHeight="1" x14ac:dyDescent="0.3">
      <c r="A37" s="76" t="s">
        <v>18</v>
      </c>
      <c r="B37" s="102" t="s">
        <v>29</v>
      </c>
      <c r="C37" s="103">
        <v>47</v>
      </c>
      <c r="D37" s="103">
        <v>49</v>
      </c>
      <c r="E37" s="104">
        <f t="shared" si="6"/>
        <v>0.48958333333333331</v>
      </c>
      <c r="F37" s="105">
        <f t="shared" si="7"/>
        <v>0.51041666666666663</v>
      </c>
      <c r="G37" s="151" t="str">
        <f>IF(E37&gt;F37,"PBKS wins","SRH wins")</f>
        <v>SRH wins</v>
      </c>
      <c r="H37" s="151"/>
    </row>
    <row r="38" spans="1:8" ht="15.75" customHeight="1" x14ac:dyDescent="0.3">
      <c r="A38" s="65" t="s">
        <v>34</v>
      </c>
      <c r="B38" s="99" t="s">
        <v>32</v>
      </c>
      <c r="C38" s="100">
        <v>56</v>
      </c>
      <c r="D38" s="100">
        <v>50</v>
      </c>
      <c r="E38" s="85">
        <f t="shared" si="6"/>
        <v>0.52830188679245282</v>
      </c>
      <c r="F38" s="101">
        <f t="shared" si="7"/>
        <v>0.47169811320754718</v>
      </c>
      <c r="G38" s="144" t="str">
        <f>IF(E38&gt;F38,"GT wins","LSG wins")</f>
        <v>GT wins</v>
      </c>
      <c r="H38" s="144"/>
    </row>
    <row r="39" spans="1:8" ht="15.75" customHeight="1" x14ac:dyDescent="0.3">
      <c r="A39" s="76" t="s">
        <v>21</v>
      </c>
      <c r="B39" s="102" t="s">
        <v>30</v>
      </c>
      <c r="C39" s="103">
        <v>48</v>
      </c>
      <c r="D39" s="103">
        <v>57</v>
      </c>
      <c r="E39" s="104">
        <f t="shared" si="6"/>
        <v>0.45714285714285713</v>
      </c>
      <c r="F39" s="105">
        <f t="shared" si="7"/>
        <v>0.54285714285714282</v>
      </c>
      <c r="G39" s="151" t="str">
        <f>IF(E39&gt;F39,"RCB wins","MI wins")</f>
        <v>MI wins</v>
      </c>
      <c r="H39" s="151"/>
    </row>
    <row r="40" spans="1:8" ht="15.75" customHeight="1" x14ac:dyDescent="0.3">
      <c r="A40" s="65" t="s">
        <v>24</v>
      </c>
      <c r="B40" s="99" t="s">
        <v>18</v>
      </c>
      <c r="C40" s="100">
        <v>51</v>
      </c>
      <c r="D40" s="100">
        <v>47</v>
      </c>
      <c r="E40" s="85">
        <f t="shared" si="6"/>
        <v>0.52040816326530615</v>
      </c>
      <c r="F40" s="101">
        <f t="shared" si="7"/>
        <v>0.47959183673469385</v>
      </c>
      <c r="G40" s="144" t="str">
        <f>IF(E40&gt;F40,"RR wins","PBKS wins")</f>
        <v>RR wins</v>
      </c>
      <c r="H40" s="144"/>
    </row>
    <row r="41" spans="1:8" ht="15.75" customHeight="1" x14ac:dyDescent="0.3">
      <c r="A41" s="76" t="s">
        <v>27</v>
      </c>
      <c r="B41" s="102" t="s">
        <v>36</v>
      </c>
      <c r="C41" s="103">
        <v>46</v>
      </c>
      <c r="D41" s="103">
        <v>52</v>
      </c>
      <c r="E41" s="104">
        <f t="shared" si="6"/>
        <v>0.46938775510204084</v>
      </c>
      <c r="F41" s="105">
        <f t="shared" si="7"/>
        <v>0.53061224489795922</v>
      </c>
      <c r="G41" s="151" t="str">
        <f>IF(E41&gt;F41,"DC wins","KKR wins")</f>
        <v>KKR wins</v>
      </c>
      <c r="H41" s="151"/>
    </row>
    <row r="42" spans="1:8" ht="15.75" customHeight="1" x14ac:dyDescent="0.3">
      <c r="A42" s="65" t="s">
        <v>29</v>
      </c>
      <c r="B42" s="99" t="s">
        <v>38</v>
      </c>
      <c r="C42" s="100">
        <v>49</v>
      </c>
      <c r="D42" s="100">
        <v>59</v>
      </c>
      <c r="E42" s="85">
        <f t="shared" si="6"/>
        <v>0.45370370370370372</v>
      </c>
      <c r="F42" s="101">
        <f t="shared" si="7"/>
        <v>0.54629629629629628</v>
      </c>
      <c r="G42" s="144" t="str">
        <f>IF(E42&gt;F42,"SRH wins","CSK wins")</f>
        <v>CSK wins</v>
      </c>
      <c r="H42" s="144"/>
    </row>
    <row r="43" spans="1:8" ht="15.75" customHeight="1" x14ac:dyDescent="0.3">
      <c r="A43" s="76" t="s">
        <v>34</v>
      </c>
      <c r="B43" s="102" t="s">
        <v>21</v>
      </c>
      <c r="C43" s="103">
        <v>56</v>
      </c>
      <c r="D43" s="103">
        <v>48</v>
      </c>
      <c r="E43" s="104">
        <f t="shared" si="6"/>
        <v>0.53846153846153844</v>
      </c>
      <c r="F43" s="105">
        <f t="shared" si="7"/>
        <v>0.46153846153846156</v>
      </c>
      <c r="G43" s="151" t="str">
        <f>IF(E43&gt;F43,"GT wins","RCB wins")</f>
        <v>GT wins</v>
      </c>
      <c r="H43" s="151"/>
    </row>
  </sheetData>
  <mergeCells count="11">
    <mergeCell ref="G43:H43"/>
    <mergeCell ref="G38:H38"/>
    <mergeCell ref="G39:H39"/>
    <mergeCell ref="G40:H40"/>
    <mergeCell ref="G41:H41"/>
    <mergeCell ref="G42:H42"/>
    <mergeCell ref="G33:H33"/>
    <mergeCell ref="G34:H34"/>
    <mergeCell ref="G35:H35"/>
    <mergeCell ref="G36:H36"/>
    <mergeCell ref="G37:H37"/>
  </mergeCells>
  <conditionalFormatting sqref="E2:E11">
    <cfRule type="colorScale" priority="1">
      <colorScale>
        <cfvo type="min"/>
        <cfvo type="max"/>
        <color rgb="FFFCFCFF"/>
        <color rgb="FF63BE7B"/>
      </colorScale>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9"/>
  <sheetViews>
    <sheetView showGridLines="0" tabSelected="1" topLeftCell="A10" zoomScale="65" zoomScaleNormal="65" workbookViewId="0">
      <selection activeCell="R30" sqref="R30"/>
    </sheetView>
  </sheetViews>
  <sheetFormatPr defaultColWidth="8.6640625" defaultRowHeight="14.4" x14ac:dyDescent="0.3"/>
  <cols>
    <col min="1" max="1" width="1.5546875" customWidth="1"/>
    <col min="2" max="19" width="11.44140625" customWidth="1"/>
    <col min="20" max="20" width="1.5546875" customWidth="1"/>
  </cols>
  <sheetData>
    <row r="1" spans="1:20" ht="7.5" customHeight="1" x14ac:dyDescent="0.3">
      <c r="A1" s="1"/>
      <c r="B1" s="1"/>
      <c r="C1" s="1"/>
      <c r="D1" s="1"/>
      <c r="E1" s="1"/>
      <c r="F1" s="1"/>
      <c r="G1" s="1"/>
      <c r="H1" s="1"/>
      <c r="I1" s="1"/>
      <c r="J1" s="1"/>
      <c r="K1" s="1"/>
      <c r="L1" s="1"/>
      <c r="M1" s="1"/>
      <c r="N1" s="1"/>
      <c r="O1" s="1"/>
      <c r="P1" s="1"/>
      <c r="Q1" s="1"/>
      <c r="R1" s="1"/>
      <c r="S1" s="1"/>
      <c r="T1" s="1"/>
    </row>
    <row r="2" spans="1:20" ht="7.5" customHeight="1" x14ac:dyDescent="0.3">
      <c r="A2" s="1"/>
      <c r="B2" s="1"/>
      <c r="C2" s="1"/>
      <c r="D2" s="1"/>
      <c r="E2" s="1"/>
      <c r="F2" s="1"/>
      <c r="G2" s="1"/>
      <c r="H2" s="1"/>
      <c r="I2" s="1"/>
      <c r="J2" s="1"/>
      <c r="K2" s="1"/>
      <c r="L2" s="1"/>
      <c r="M2" s="1"/>
      <c r="N2" s="1"/>
      <c r="O2" s="1"/>
      <c r="P2" s="1"/>
      <c r="Q2" s="1"/>
      <c r="R2" s="1"/>
      <c r="S2" s="1"/>
      <c r="T2" s="1"/>
    </row>
    <row r="3" spans="1:20" ht="30" customHeight="1" x14ac:dyDescent="0.3">
      <c r="A3" s="1"/>
      <c r="B3" s="116" t="s">
        <v>138</v>
      </c>
      <c r="C3" s="117"/>
      <c r="D3" s="117"/>
      <c r="E3" s="117"/>
      <c r="F3" s="117"/>
      <c r="G3" s="117"/>
      <c r="H3" s="117"/>
      <c r="I3" s="117"/>
      <c r="J3" s="117"/>
      <c r="K3" s="117"/>
      <c r="L3" s="117"/>
      <c r="M3" s="117"/>
      <c r="N3" s="117"/>
      <c r="O3" s="117"/>
      <c r="P3" s="117"/>
      <c r="Q3" s="117"/>
      <c r="R3" s="117"/>
      <c r="S3" s="117"/>
      <c r="T3" s="1"/>
    </row>
    <row r="4" spans="1:20" ht="9.75" customHeight="1" x14ac:dyDescent="0.3">
      <c r="A4" s="1"/>
      <c r="B4" s="2"/>
      <c r="C4" s="2"/>
      <c r="D4" s="2"/>
      <c r="E4" s="2"/>
      <c r="F4" s="2"/>
      <c r="G4" s="2"/>
      <c r="H4" s="2"/>
      <c r="I4" s="2"/>
      <c r="J4" s="2"/>
      <c r="K4" s="2"/>
      <c r="L4" s="2"/>
      <c r="M4" s="2"/>
      <c r="N4" s="2"/>
      <c r="O4" s="2"/>
      <c r="P4" s="2"/>
      <c r="Q4" s="2"/>
      <c r="R4" s="2"/>
      <c r="S4" s="1"/>
      <c r="T4" s="1"/>
    </row>
    <row r="5" spans="1:20" ht="9.75" customHeight="1" x14ac:dyDescent="0.3">
      <c r="A5" s="1"/>
      <c r="B5" s="1"/>
      <c r="C5" s="1"/>
      <c r="D5" s="1"/>
      <c r="E5" s="1"/>
      <c r="F5" s="1"/>
      <c r="G5" s="1"/>
      <c r="H5" s="1"/>
      <c r="I5" s="1"/>
      <c r="J5" s="1"/>
      <c r="K5" s="1"/>
      <c r="L5" s="1"/>
      <c r="M5" s="1"/>
      <c r="N5" s="1"/>
      <c r="O5" s="1"/>
      <c r="P5" s="1"/>
      <c r="Q5" s="1"/>
      <c r="R5" s="1"/>
      <c r="S5" s="1"/>
      <c r="T5" s="1"/>
    </row>
    <row r="6" spans="1:20" ht="6" customHeight="1" x14ac:dyDescent="0.3">
      <c r="A6" s="1"/>
      <c r="B6" s="2"/>
      <c r="C6" s="2"/>
      <c r="D6" s="2"/>
      <c r="E6" s="3"/>
      <c r="F6" s="3"/>
      <c r="G6" s="3"/>
      <c r="H6" s="4"/>
      <c r="I6" s="4"/>
      <c r="J6" s="4"/>
      <c r="K6" s="3"/>
      <c r="L6" s="3"/>
      <c r="M6" s="3"/>
      <c r="N6" s="5"/>
      <c r="O6" s="5"/>
      <c r="P6" s="5"/>
      <c r="Q6" s="6"/>
      <c r="R6" s="6"/>
      <c r="S6" s="6"/>
      <c r="T6" s="1"/>
    </row>
    <row r="7" spans="1:20" ht="25.5" customHeight="1" x14ac:dyDescent="0.3">
      <c r="A7" s="1"/>
      <c r="B7" s="118">
        <f>COUNT(Data!B2:B11)</f>
        <v>10</v>
      </c>
      <c r="C7" s="118"/>
      <c r="D7" s="118"/>
      <c r="E7" s="119">
        <f>SUM(Data!B2:B11)/2</f>
        <v>13.5</v>
      </c>
      <c r="F7" s="119"/>
      <c r="G7" s="119"/>
      <c r="H7" s="120">
        <f>AVERAGE(Data!E2:E11)</f>
        <v>0.11630000000000003</v>
      </c>
      <c r="I7" s="120"/>
      <c r="J7" s="120"/>
      <c r="K7" s="119">
        <f>MAX(Data!F2:F11)</f>
        <v>6</v>
      </c>
      <c r="L7" s="119"/>
      <c r="M7" s="119"/>
      <c r="N7" s="121">
        <f>STDEV(Data!F2:F11)</f>
        <v>2.0655911179772892</v>
      </c>
      <c r="O7" s="121"/>
      <c r="P7" s="121"/>
      <c r="Q7" s="122">
        <f>COUNTIF(Data!F2:F11,"&gt;=4")</f>
        <v>4</v>
      </c>
      <c r="R7" s="122"/>
      <c r="S7" s="122"/>
      <c r="T7" s="1"/>
    </row>
    <row r="8" spans="1:20" ht="13.5" customHeight="1" x14ac:dyDescent="0.3">
      <c r="A8" s="1"/>
      <c r="B8" s="123" t="s">
        <v>0</v>
      </c>
      <c r="C8" s="123"/>
      <c r="D8" s="123"/>
      <c r="E8" s="123" t="s">
        <v>1</v>
      </c>
      <c r="F8" s="123"/>
      <c r="G8" s="123"/>
      <c r="H8" s="123" t="s">
        <v>2</v>
      </c>
      <c r="I8" s="123"/>
      <c r="J8" s="123"/>
      <c r="K8" s="123" t="s">
        <v>3</v>
      </c>
      <c r="L8" s="123"/>
      <c r="M8" s="123"/>
      <c r="N8" s="123" t="s">
        <v>4</v>
      </c>
      <c r="O8" s="123"/>
      <c r="P8" s="123"/>
      <c r="Q8" s="123" t="s">
        <v>5</v>
      </c>
      <c r="R8" s="123"/>
      <c r="S8" s="123"/>
      <c r="T8" s="1"/>
    </row>
    <row r="9" spans="1:20" ht="15" customHeight="1" x14ac:dyDescent="0.3">
      <c r="A9" s="1"/>
      <c r="B9" s="1"/>
      <c r="C9" s="1"/>
      <c r="D9" s="1"/>
      <c r="E9" s="1"/>
      <c r="F9" s="1"/>
      <c r="G9" s="1"/>
      <c r="H9" s="1"/>
      <c r="I9" s="1"/>
      <c r="J9" s="1"/>
      <c r="K9" s="1"/>
      <c r="L9" s="1"/>
      <c r="M9" s="1"/>
      <c r="N9" s="1"/>
      <c r="O9" s="1"/>
      <c r="P9" s="1"/>
      <c r="Q9" s="1"/>
      <c r="R9" s="1"/>
      <c r="S9" s="1"/>
      <c r="T9" s="1"/>
    </row>
    <row r="10" spans="1:20" ht="7.5" customHeight="1" x14ac:dyDescent="0.3">
      <c r="A10" s="1"/>
      <c r="B10" s="1"/>
      <c r="C10" s="1"/>
      <c r="D10" s="1"/>
      <c r="E10" s="1"/>
      <c r="F10" s="1"/>
      <c r="G10" s="1"/>
      <c r="H10" s="1"/>
      <c r="I10" s="1"/>
      <c r="J10" s="1"/>
      <c r="K10" s="1"/>
      <c r="L10" s="1"/>
      <c r="M10" s="1"/>
      <c r="N10" s="1"/>
      <c r="O10" s="1"/>
      <c r="P10" s="1"/>
      <c r="Q10" s="1"/>
      <c r="R10" s="1"/>
      <c r="S10" s="1"/>
      <c r="T10" s="1"/>
    </row>
    <row r="11" spans="1:20" ht="15.75" customHeight="1" x14ac:dyDescent="0.3">
      <c r="A11" s="1"/>
      <c r="B11" s="124" t="s">
        <v>6</v>
      </c>
      <c r="C11" s="124"/>
      <c r="D11" s="124"/>
      <c r="E11" s="124"/>
      <c r="F11" s="124"/>
      <c r="G11" s="124"/>
      <c r="H11" s="124"/>
      <c r="I11" s="124"/>
      <c r="J11" s="124"/>
      <c r="K11" s="125"/>
      <c r="L11" s="125"/>
      <c r="M11" s="125"/>
      <c r="N11" s="125"/>
      <c r="O11" s="125"/>
      <c r="P11" s="125"/>
      <c r="Q11" s="125"/>
      <c r="R11" s="125"/>
      <c r="S11" s="125"/>
      <c r="T11" s="1"/>
    </row>
    <row r="12" spans="1:20" ht="15.75" customHeight="1" x14ac:dyDescent="0.3">
      <c r="A12" s="1"/>
      <c r="B12" s="7" t="s">
        <v>7</v>
      </c>
      <c r="C12" s="7" t="s">
        <v>8</v>
      </c>
      <c r="D12" s="7" t="s">
        <v>9</v>
      </c>
      <c r="E12" s="7" t="s">
        <v>10</v>
      </c>
      <c r="F12" s="7" t="s">
        <v>11</v>
      </c>
      <c r="G12" s="7" t="s">
        <v>12</v>
      </c>
      <c r="H12" s="7" t="s">
        <v>13</v>
      </c>
      <c r="I12" s="7" t="s">
        <v>14</v>
      </c>
      <c r="J12" s="7" t="s">
        <v>15</v>
      </c>
      <c r="K12" s="126" t="s">
        <v>16</v>
      </c>
      <c r="L12" s="126"/>
      <c r="M12" s="126"/>
      <c r="N12" s="126"/>
      <c r="O12" s="126"/>
      <c r="P12" s="127" t="s">
        <v>17</v>
      </c>
      <c r="Q12" s="127"/>
      <c r="R12" s="127"/>
      <c r="S12" s="127"/>
      <c r="T12" s="1"/>
    </row>
    <row r="13" spans="1:20" ht="15" customHeight="1" x14ac:dyDescent="0.3">
      <c r="A13" s="1"/>
      <c r="B13" s="8" t="s">
        <v>18</v>
      </c>
      <c r="C13" s="9">
        <f>Data!B2</f>
        <v>3</v>
      </c>
      <c r="D13" s="10">
        <f>Data!C2</f>
        <v>2</v>
      </c>
      <c r="E13" s="11">
        <f>Data!D2</f>
        <v>0</v>
      </c>
      <c r="F13" s="12">
        <f>Data!E2</f>
        <v>0.63700000000000001</v>
      </c>
      <c r="G13" s="13">
        <f>Data!F2</f>
        <v>5</v>
      </c>
      <c r="H13" s="14" t="str">
        <f>Data!M2</f>
        <v>Favourite</v>
      </c>
      <c r="I13" s="15" t="str">
        <f>Data!O2</f>
        <v>Strong</v>
      </c>
      <c r="J13" s="16">
        <f>Data!Q2</f>
        <v>47</v>
      </c>
      <c r="K13" s="128" t="s">
        <v>19</v>
      </c>
      <c r="L13" s="128"/>
      <c r="M13" s="128"/>
      <c r="N13" s="129">
        <f>Data!H2</f>
        <v>2.6</v>
      </c>
      <c r="O13" s="129"/>
      <c r="P13" s="128" t="s">
        <v>20</v>
      </c>
      <c r="Q13" s="128"/>
      <c r="R13" s="130">
        <f>Data!K2</f>
        <v>4</v>
      </c>
      <c r="S13" s="130"/>
      <c r="T13" s="1"/>
    </row>
    <row r="14" spans="1:20" ht="15" customHeight="1" x14ac:dyDescent="0.3">
      <c r="A14" s="1"/>
      <c r="B14" s="17" t="s">
        <v>21</v>
      </c>
      <c r="C14" s="18">
        <f>Data!B3</f>
        <v>2</v>
      </c>
      <c r="D14" s="19">
        <f>Data!C3</f>
        <v>2</v>
      </c>
      <c r="E14" s="20">
        <f>Data!D3</f>
        <v>0</v>
      </c>
      <c r="F14" s="21">
        <f>Data!E3</f>
        <v>2.5009999999999999</v>
      </c>
      <c r="G14" s="22">
        <f>Data!F3</f>
        <v>4</v>
      </c>
      <c r="H14" s="23" t="str">
        <f>Data!M3</f>
        <v>Favourite</v>
      </c>
      <c r="I14" s="24" t="str">
        <f>Data!O3</f>
        <v>Strong</v>
      </c>
      <c r="J14" s="25">
        <f>Data!Q3</f>
        <v>48</v>
      </c>
      <c r="K14" s="131" t="s">
        <v>22</v>
      </c>
      <c r="L14" s="131"/>
      <c r="M14" s="131"/>
      <c r="N14" s="132">
        <f>Data!H3</f>
        <v>6</v>
      </c>
      <c r="O14" s="132"/>
      <c r="P14" s="131" t="s">
        <v>23</v>
      </c>
      <c r="Q14" s="131"/>
      <c r="R14" s="133">
        <f>Data!K3</f>
        <v>4</v>
      </c>
      <c r="S14" s="133"/>
      <c r="T14" s="1"/>
    </row>
    <row r="15" spans="1:20" ht="15" customHeight="1" x14ac:dyDescent="0.3">
      <c r="A15" s="1"/>
      <c r="B15" s="26" t="s">
        <v>24</v>
      </c>
      <c r="C15" s="9">
        <f>Data!B4</f>
        <v>3</v>
      </c>
      <c r="D15" s="10">
        <f>Data!C4</f>
        <v>3</v>
      </c>
      <c r="E15" s="11">
        <f>Data!D4</f>
        <v>0</v>
      </c>
      <c r="F15" s="12">
        <f>Data!E4</f>
        <v>2.2330000000000001</v>
      </c>
      <c r="G15" s="13">
        <f>Data!F4</f>
        <v>6</v>
      </c>
      <c r="H15" s="14" t="str">
        <f>Data!M4</f>
        <v>Favourite</v>
      </c>
      <c r="I15" s="15" t="str">
        <f>Data!O4</f>
        <v>Strong</v>
      </c>
      <c r="J15" s="16">
        <f>Data!Q4</f>
        <v>51</v>
      </c>
      <c r="K15" s="128" t="s">
        <v>25</v>
      </c>
      <c r="L15" s="128"/>
      <c r="M15" s="128"/>
      <c r="N15" s="129">
        <f>Data!H4</f>
        <v>0</v>
      </c>
      <c r="O15" s="129"/>
      <c r="P15" s="128" t="s">
        <v>26</v>
      </c>
      <c r="Q15" s="128"/>
      <c r="R15" s="130">
        <f>Data!K4</f>
        <v>2</v>
      </c>
      <c r="S15" s="130"/>
      <c r="T15" s="1"/>
    </row>
    <row r="16" spans="1:20" ht="15" customHeight="1" x14ac:dyDescent="0.3">
      <c r="A16" s="1"/>
      <c r="B16" s="27" t="s">
        <v>27</v>
      </c>
      <c r="C16" s="18">
        <f>Data!B5</f>
        <v>2</v>
      </c>
      <c r="D16" s="19">
        <f>Data!C5</f>
        <v>2</v>
      </c>
      <c r="E16" s="20">
        <f>Data!D5</f>
        <v>0</v>
      </c>
      <c r="F16" s="21">
        <f>Data!E5</f>
        <v>1.17</v>
      </c>
      <c r="G16" s="22">
        <f>Data!F5</f>
        <v>4</v>
      </c>
      <c r="H16" s="23" t="str">
        <f>Data!M5</f>
        <v>Favourite</v>
      </c>
      <c r="I16" s="24" t="str">
        <f>Data!O5</f>
        <v>Strong</v>
      </c>
      <c r="J16" s="25">
        <f>Data!Q5</f>
        <v>46</v>
      </c>
      <c r="K16" s="131" t="s">
        <v>28</v>
      </c>
      <c r="L16" s="131"/>
      <c r="M16" s="131"/>
      <c r="N16" s="132">
        <f>Data!H5</f>
        <v>0.11630000000000003</v>
      </c>
      <c r="O16" s="132"/>
      <c r="P16" s="1"/>
      <c r="Q16" s="1"/>
      <c r="R16" s="1"/>
      <c r="S16" s="1"/>
      <c r="T16" s="1"/>
    </row>
    <row r="17" spans="1:20" ht="15" customHeight="1" x14ac:dyDescent="0.3">
      <c r="A17" s="1"/>
      <c r="B17" s="28" t="s">
        <v>29</v>
      </c>
      <c r="C17" s="9">
        <f>Data!B6</f>
        <v>3</v>
      </c>
      <c r="D17" s="10">
        <f>Data!C6</f>
        <v>1</v>
      </c>
      <c r="E17" s="11">
        <f>Data!D6</f>
        <v>2</v>
      </c>
      <c r="F17" s="12">
        <f>Data!E6</f>
        <v>0.27500000000000002</v>
      </c>
      <c r="G17" s="13">
        <f>Data!F6</f>
        <v>2</v>
      </c>
      <c r="H17" s="14" t="str">
        <f>Data!M6</f>
        <v>Underdog</v>
      </c>
      <c r="I17" s="15" t="str">
        <f>Data!O6</f>
        <v>Weak</v>
      </c>
      <c r="J17" s="16">
        <f>Data!Q6</f>
        <v>49</v>
      </c>
      <c r="K17" s="128" t="s">
        <v>4</v>
      </c>
      <c r="L17" s="128"/>
      <c r="M17" s="128"/>
      <c r="N17" s="129">
        <f>Data!H6</f>
        <v>2.0655911179772892</v>
      </c>
      <c r="O17" s="129"/>
      <c r="P17" s="1"/>
      <c r="Q17" s="1"/>
      <c r="R17" s="1"/>
      <c r="S17" s="1"/>
      <c r="T17" s="1"/>
    </row>
    <row r="18" spans="1:20" ht="15" customHeight="1" x14ac:dyDescent="0.3">
      <c r="A18" s="1"/>
      <c r="B18" s="29" t="s">
        <v>30</v>
      </c>
      <c r="C18" s="18">
        <f>Data!B7</f>
        <v>3</v>
      </c>
      <c r="D18" s="19">
        <f>Data!C7</f>
        <v>1</v>
      </c>
      <c r="E18" s="20">
        <f>Data!D7</f>
        <v>2</v>
      </c>
      <c r="F18" s="21">
        <f>Data!E7</f>
        <v>-0.20599999999999999</v>
      </c>
      <c r="G18" s="22">
        <f>Data!F7</f>
        <v>2</v>
      </c>
      <c r="H18" s="23" t="str">
        <f>Data!M7</f>
        <v>Underdog</v>
      </c>
      <c r="I18" s="24" t="str">
        <f>Data!O7</f>
        <v>Weak</v>
      </c>
      <c r="J18" s="25">
        <f>Data!Q7</f>
        <v>57</v>
      </c>
      <c r="K18" s="131" t="s">
        <v>31</v>
      </c>
      <c r="L18" s="131"/>
      <c r="M18" s="131"/>
      <c r="N18" s="132">
        <f>Data!H7</f>
        <v>4.2666666666666675</v>
      </c>
      <c r="O18" s="132"/>
      <c r="P18" s="1"/>
      <c r="Q18" s="1"/>
      <c r="R18" s="1"/>
      <c r="S18" s="1"/>
      <c r="T18" s="1"/>
    </row>
    <row r="19" spans="1:20" ht="15" customHeight="1" x14ac:dyDescent="0.3">
      <c r="A19" s="1"/>
      <c r="B19" s="30" t="s">
        <v>32</v>
      </c>
      <c r="C19" s="9">
        <f>Data!B8</f>
        <v>2</v>
      </c>
      <c r="D19" s="10">
        <f>Data!C8</f>
        <v>1</v>
      </c>
      <c r="E19" s="11">
        <f>Data!D8</f>
        <v>1</v>
      </c>
      <c r="F19" s="12">
        <f>Data!E8</f>
        <v>-0.54200000000000004</v>
      </c>
      <c r="G19" s="13">
        <f>Data!F8</f>
        <v>2</v>
      </c>
      <c r="H19" s="14" t="str">
        <f>Data!M8</f>
        <v>Contender</v>
      </c>
      <c r="I19" s="15" t="str">
        <f>Data!O8</f>
        <v>Strong</v>
      </c>
      <c r="J19" s="16">
        <f>Data!Q8</f>
        <v>50</v>
      </c>
      <c r="K19" s="128" t="s">
        <v>33</v>
      </c>
      <c r="L19" s="128"/>
      <c r="M19" s="128"/>
      <c r="N19" s="129">
        <f>Data!H8</f>
        <v>2</v>
      </c>
      <c r="O19" s="129"/>
      <c r="P19" s="1"/>
      <c r="Q19" s="1"/>
      <c r="R19" s="1"/>
      <c r="S19" s="1"/>
      <c r="T19" s="1"/>
    </row>
    <row r="20" spans="1:20" ht="15" customHeight="1" x14ac:dyDescent="0.3">
      <c r="A20" s="1"/>
      <c r="B20" s="31" t="s">
        <v>34</v>
      </c>
      <c r="C20" s="18">
        <f>Data!B9</f>
        <v>3</v>
      </c>
      <c r="D20" s="19">
        <f>Data!C9</f>
        <v>0</v>
      </c>
      <c r="E20" s="20">
        <f>Data!D9</f>
        <v>3</v>
      </c>
      <c r="F20" s="21">
        <f>Data!E9</f>
        <v>-0.42399999999999999</v>
      </c>
      <c r="G20" s="22">
        <f>Data!F9</f>
        <v>0</v>
      </c>
      <c r="H20" s="23" t="str">
        <f>Data!M9</f>
        <v>Underdog</v>
      </c>
      <c r="I20" s="24" t="str">
        <f>Data!O9</f>
        <v>Weak</v>
      </c>
      <c r="J20" s="25">
        <f>Data!Q9</f>
        <v>56</v>
      </c>
      <c r="K20" s="131" t="s">
        <v>35</v>
      </c>
      <c r="L20" s="131"/>
      <c r="M20" s="131"/>
      <c r="N20" s="132">
        <f>Data!H9</f>
        <v>4</v>
      </c>
      <c r="O20" s="132"/>
      <c r="P20" s="1"/>
      <c r="Q20" s="1"/>
      <c r="R20" s="1"/>
      <c r="S20" s="1"/>
      <c r="T20" s="1"/>
    </row>
    <row r="21" spans="1:20" ht="15" customHeight="1" x14ac:dyDescent="0.3">
      <c r="A21" s="1"/>
      <c r="B21" s="32" t="s">
        <v>36</v>
      </c>
      <c r="C21" s="9">
        <f>Data!B10</f>
        <v>3</v>
      </c>
      <c r="D21" s="10">
        <f>Data!C10</f>
        <v>0</v>
      </c>
      <c r="E21" s="11">
        <f>Data!D10</f>
        <v>2</v>
      </c>
      <c r="F21" s="12">
        <f>Data!E10</f>
        <v>-1.964</v>
      </c>
      <c r="G21" s="13">
        <f>Data!F10</f>
        <v>1</v>
      </c>
      <c r="H21" s="14" t="str">
        <f>Data!M10</f>
        <v>Underdog</v>
      </c>
      <c r="I21" s="15" t="str">
        <f>Data!O10</f>
        <v>Weak</v>
      </c>
      <c r="J21" s="16">
        <f>Data!Q10</f>
        <v>52</v>
      </c>
      <c r="K21" s="128" t="s">
        <v>37</v>
      </c>
      <c r="L21" s="128"/>
      <c r="M21" s="128"/>
      <c r="N21" s="129">
        <f>Data!H10</f>
        <v>51.5</v>
      </c>
      <c r="O21" s="129"/>
      <c r="P21" s="1"/>
      <c r="Q21" s="1"/>
      <c r="R21" s="1"/>
      <c r="S21" s="1"/>
      <c r="T21" s="1"/>
    </row>
    <row r="22" spans="1:20" ht="15" customHeight="1" x14ac:dyDescent="0.3">
      <c r="A22" s="1"/>
      <c r="B22" s="33" t="s">
        <v>38</v>
      </c>
      <c r="C22" s="18">
        <f>Data!B11</f>
        <v>3</v>
      </c>
      <c r="D22" s="19">
        <f>Data!C11</f>
        <v>0</v>
      </c>
      <c r="E22" s="20">
        <f>Data!D11</f>
        <v>3</v>
      </c>
      <c r="F22" s="21">
        <f>Data!E11</f>
        <v>-2.5169999999999999</v>
      </c>
      <c r="G22" s="22">
        <f>Data!F11</f>
        <v>0</v>
      </c>
      <c r="H22" s="23" t="str">
        <f>Data!M11</f>
        <v>Underdog</v>
      </c>
      <c r="I22" s="24" t="str">
        <f>Data!O11</f>
        <v>Weak</v>
      </c>
      <c r="J22" s="25">
        <f>Data!Q11</f>
        <v>59</v>
      </c>
      <c r="K22" s="1"/>
      <c r="L22" s="1"/>
      <c r="M22" s="1"/>
      <c r="N22" s="1"/>
      <c r="O22" s="1"/>
      <c r="P22" s="1"/>
      <c r="Q22" s="1"/>
      <c r="R22" s="1"/>
      <c r="S22" s="1"/>
      <c r="T22" s="1"/>
    </row>
    <row r="23" spans="1:20" ht="12.6" customHeight="1" x14ac:dyDescent="0.3">
      <c r="A23" s="1"/>
      <c r="B23" s="1"/>
      <c r="C23" s="1"/>
      <c r="D23" s="1"/>
      <c r="E23" s="1"/>
      <c r="F23" s="1"/>
      <c r="G23" s="1"/>
      <c r="H23" s="1"/>
      <c r="I23" s="1"/>
      <c r="J23" s="1"/>
      <c r="K23" s="1"/>
      <c r="L23" s="1"/>
      <c r="M23" s="1"/>
      <c r="N23" s="1"/>
      <c r="O23" s="1"/>
      <c r="P23" s="1"/>
      <c r="Q23" s="1"/>
      <c r="R23" s="1"/>
      <c r="S23" s="1"/>
      <c r="T23" s="1"/>
    </row>
    <row r="24" spans="1:20" ht="15.75" customHeight="1" x14ac:dyDescent="0.3">
      <c r="A24" s="1"/>
      <c r="B24" s="124" t="s">
        <v>39</v>
      </c>
      <c r="C24" s="124"/>
      <c r="D24" s="124"/>
      <c r="E24" s="124"/>
      <c r="F24" s="124"/>
      <c r="G24" s="124"/>
      <c r="H24" s="124"/>
      <c r="I24" s="124"/>
      <c r="J24" s="124"/>
      <c r="K24" s="127" t="s">
        <v>40</v>
      </c>
      <c r="L24" s="127"/>
      <c r="M24" s="127"/>
      <c r="N24" s="127"/>
      <c r="O24" s="127"/>
      <c r="P24" s="127"/>
      <c r="Q24" s="127"/>
      <c r="R24" s="127"/>
      <c r="S24" s="127"/>
      <c r="T24" s="1"/>
    </row>
    <row r="25" spans="1:20" ht="12" customHeight="1" x14ac:dyDescent="0.3">
      <c r="A25" s="1"/>
      <c r="B25" s="34" t="s">
        <v>7</v>
      </c>
      <c r="C25" s="34" t="s">
        <v>12</v>
      </c>
      <c r="D25" s="1"/>
      <c r="E25" s="35" t="s">
        <v>41</v>
      </c>
      <c r="F25" s="35" t="s">
        <v>42</v>
      </c>
      <c r="G25" s="1"/>
      <c r="H25" s="36" t="s">
        <v>7</v>
      </c>
      <c r="I25" s="36" t="s">
        <v>12</v>
      </c>
      <c r="J25" s="36" t="s">
        <v>43</v>
      </c>
      <c r="K25" s="1"/>
      <c r="L25" s="37" t="s">
        <v>44</v>
      </c>
      <c r="M25" s="37" t="s">
        <v>45</v>
      </c>
      <c r="N25" s="37" t="s">
        <v>46</v>
      </c>
      <c r="O25" s="37" t="s">
        <v>47</v>
      </c>
      <c r="P25" s="37" t="s">
        <v>48</v>
      </c>
      <c r="Q25" s="1"/>
      <c r="R25" s="1"/>
      <c r="S25" s="1"/>
      <c r="T25" s="1"/>
    </row>
    <row r="26" spans="1:20" ht="12" customHeight="1" x14ac:dyDescent="0.3">
      <c r="A26" s="1"/>
      <c r="B26" s="38" t="s">
        <v>18</v>
      </c>
      <c r="C26" s="39">
        <f>Data!F2</f>
        <v>5</v>
      </c>
      <c r="D26" s="1"/>
      <c r="E26" s="38" t="s">
        <v>20</v>
      </c>
      <c r="F26" s="40">
        <f>Data!K2</f>
        <v>4</v>
      </c>
      <c r="G26" s="1"/>
      <c r="H26" s="38" t="s">
        <v>18</v>
      </c>
      <c r="I26" s="41">
        <f>Data!F2</f>
        <v>5</v>
      </c>
      <c r="J26" s="42">
        <f>SLOPE(Data!$G$17:$G$26,Data!$H$17:$H$26)*Data!E2+INTERCEPT(Data!$G$17:$G$26,Data!$H$17:$H$26)</f>
        <v>3.1574079701648792</v>
      </c>
      <c r="K26" s="1"/>
      <c r="L26" s="43" t="s">
        <v>21</v>
      </c>
      <c r="M26" s="44" t="s">
        <v>38</v>
      </c>
      <c r="N26" s="45">
        <f>Data!E34</f>
        <v>0.44859813084112149</v>
      </c>
      <c r="O26" s="46">
        <f>Data!F34</f>
        <v>0.55140186915887845</v>
      </c>
      <c r="P26" s="47" t="str">
        <f>Data!G34</f>
        <v>CSK wins</v>
      </c>
      <c r="Q26" s="1"/>
      <c r="R26" s="1"/>
      <c r="S26" s="1"/>
      <c r="T26" s="1"/>
    </row>
    <row r="27" spans="1:20" ht="12" customHeight="1" x14ac:dyDescent="0.3">
      <c r="A27" s="1"/>
      <c r="B27" s="48" t="s">
        <v>21</v>
      </c>
      <c r="C27" s="49">
        <f>Data!F3</f>
        <v>4</v>
      </c>
      <c r="D27" s="1"/>
      <c r="E27" s="48" t="s">
        <v>23</v>
      </c>
      <c r="F27" s="50">
        <f>Data!K3</f>
        <v>4</v>
      </c>
      <c r="G27" s="1"/>
      <c r="H27" s="48" t="s">
        <v>21</v>
      </c>
      <c r="I27" s="51">
        <f>Data!F3</f>
        <v>4</v>
      </c>
      <c r="J27" s="52">
        <f>SLOPE(Data!$G$17:$G$26,Data!$H$17:$H$26)*Data!E3+INTERCEPT(Data!$G$17:$G$26,Data!$H$17:$H$26)</f>
        <v>5.1528150306360416</v>
      </c>
      <c r="K27" s="1"/>
      <c r="L27" s="53" t="s">
        <v>30</v>
      </c>
      <c r="M27" s="54" t="s">
        <v>36</v>
      </c>
      <c r="N27" s="55">
        <f>Data!E35</f>
        <v>0.52293577981651373</v>
      </c>
      <c r="O27" s="56">
        <f>Data!F35</f>
        <v>0.47706422018348627</v>
      </c>
      <c r="P27" s="57" t="str">
        <f>Data!G35</f>
        <v>MI wins</v>
      </c>
      <c r="Q27" s="1"/>
      <c r="R27" s="1"/>
      <c r="S27" s="1"/>
      <c r="T27" s="1"/>
    </row>
    <row r="28" spans="1:20" ht="12" customHeight="1" x14ac:dyDescent="0.3">
      <c r="A28" s="1"/>
      <c r="B28" s="38" t="s">
        <v>24</v>
      </c>
      <c r="C28" s="39">
        <f>Data!F4</f>
        <v>6</v>
      </c>
      <c r="D28" s="1"/>
      <c r="E28" s="38" t="s">
        <v>26</v>
      </c>
      <c r="F28" s="40">
        <f>Data!K4</f>
        <v>2</v>
      </c>
      <c r="G28" s="1"/>
      <c r="H28" s="38" t="s">
        <v>24</v>
      </c>
      <c r="I28" s="41">
        <f>Data!F4</f>
        <v>6</v>
      </c>
      <c r="J28" s="42">
        <f>SLOPE(Data!$G$17:$G$26,Data!$H$17:$H$26)*Data!E4+INTERCEPT(Data!$G$17:$G$26,Data!$H$17:$H$26)</f>
        <v>4.8659217408258106</v>
      </c>
      <c r="K28" s="1"/>
      <c r="L28" s="43" t="s">
        <v>24</v>
      </c>
      <c r="M28" s="44" t="s">
        <v>27</v>
      </c>
      <c r="N28" s="45">
        <f>Data!E36</f>
        <v>0.52577319587628868</v>
      </c>
      <c r="O28" s="46">
        <f>Data!F36</f>
        <v>0.47422680412371132</v>
      </c>
      <c r="P28" s="47" t="str">
        <f>Data!G36</f>
        <v>RR wins</v>
      </c>
      <c r="Q28" s="1"/>
      <c r="R28" s="1"/>
      <c r="S28" s="1"/>
      <c r="T28" s="1"/>
    </row>
    <row r="29" spans="1:20" ht="12" customHeight="1" x14ac:dyDescent="0.3">
      <c r="A29" s="1"/>
      <c r="B29" s="48" t="s">
        <v>27</v>
      </c>
      <c r="C29" s="49">
        <f>Data!F5</f>
        <v>4</v>
      </c>
      <c r="D29" s="1"/>
      <c r="E29" s="1"/>
      <c r="F29" s="1"/>
      <c r="G29" s="1"/>
      <c r="H29" s="48" t="s">
        <v>27</v>
      </c>
      <c r="I29" s="51">
        <f>Data!F5</f>
        <v>4</v>
      </c>
      <c r="J29" s="52">
        <f>SLOPE(Data!$G$17:$G$26,Data!$H$17:$H$26)*Data!E5+INTERCEPT(Data!$G$17:$G$26,Data!$H$17:$H$26)</f>
        <v>3.7279830577352278</v>
      </c>
      <c r="K29" s="1"/>
      <c r="L29" s="53" t="s">
        <v>18</v>
      </c>
      <c r="M29" s="54" t="s">
        <v>29</v>
      </c>
      <c r="N29" s="55">
        <f>Data!E37</f>
        <v>0.48958333333333331</v>
      </c>
      <c r="O29" s="56">
        <f>Data!F37</f>
        <v>0.51041666666666663</v>
      </c>
      <c r="P29" s="57" t="str">
        <f>Data!G37</f>
        <v>SRH wins</v>
      </c>
      <c r="Q29" s="1"/>
      <c r="R29" s="1"/>
      <c r="S29" s="1"/>
      <c r="T29" s="1"/>
    </row>
    <row r="30" spans="1:20" ht="12" customHeight="1" x14ac:dyDescent="0.3">
      <c r="A30" s="1"/>
      <c r="B30" s="38" t="s">
        <v>29</v>
      </c>
      <c r="C30" s="39">
        <f>Data!F6</f>
        <v>2</v>
      </c>
      <c r="D30" s="1"/>
      <c r="E30" s="1"/>
      <c r="F30" s="1"/>
      <c r="G30" s="1"/>
      <c r="H30" s="38" t="s">
        <v>29</v>
      </c>
      <c r="I30" s="41">
        <f>Data!F6</f>
        <v>2</v>
      </c>
      <c r="J30" s="42">
        <f>SLOPE(Data!$G$17:$G$26,Data!$H$17:$H$26)*Data!E6+INTERCEPT(Data!$G$17:$G$26,Data!$H$17:$H$26)</f>
        <v>2.769887929451059</v>
      </c>
      <c r="K30" s="1"/>
      <c r="L30" s="43" t="s">
        <v>34</v>
      </c>
      <c r="M30" s="44" t="s">
        <v>32</v>
      </c>
      <c r="N30" s="45">
        <f>Data!E38</f>
        <v>0.52830188679245282</v>
      </c>
      <c r="O30" s="46">
        <f>Data!F38</f>
        <v>0.47169811320754718</v>
      </c>
      <c r="P30" s="47" t="str">
        <f>Data!G38</f>
        <v>GT wins</v>
      </c>
      <c r="Q30" s="1"/>
      <c r="R30" s="1"/>
      <c r="S30" s="1"/>
      <c r="T30" s="1"/>
    </row>
    <row r="31" spans="1:20" ht="12" customHeight="1" x14ac:dyDescent="0.3">
      <c r="A31" s="1"/>
      <c r="B31" s="48" t="s">
        <v>30</v>
      </c>
      <c r="C31" s="49">
        <f>Data!F7</f>
        <v>2</v>
      </c>
      <c r="D31" s="1"/>
      <c r="E31" s="1"/>
      <c r="F31" s="1"/>
      <c r="G31" s="1"/>
      <c r="H31" s="48" t="s">
        <v>30</v>
      </c>
      <c r="I31" s="51">
        <f>Data!F7</f>
        <v>2</v>
      </c>
      <c r="J31" s="52">
        <f>SLOPE(Data!$G$17:$G$26,Data!$H$17:$H$26)*Data!E7+INTERCEPT(Data!$G$17:$G$26,Data!$H$17:$H$26)</f>
        <v>2.2549787040826956</v>
      </c>
      <c r="K31" s="1"/>
      <c r="L31" s="53" t="s">
        <v>21</v>
      </c>
      <c r="M31" s="54" t="s">
        <v>30</v>
      </c>
      <c r="N31" s="55">
        <f>Data!E39</f>
        <v>0.45714285714285713</v>
      </c>
      <c r="O31" s="56">
        <f>Data!F39</f>
        <v>0.54285714285714282</v>
      </c>
      <c r="P31" s="57" t="str">
        <f>Data!G39</f>
        <v>MI wins</v>
      </c>
      <c r="Q31" s="1"/>
      <c r="R31" s="1"/>
      <c r="S31" s="1"/>
      <c r="T31" s="1"/>
    </row>
    <row r="32" spans="1:20" ht="12" customHeight="1" x14ac:dyDescent="0.3">
      <c r="A32" s="1"/>
      <c r="B32" s="38" t="s">
        <v>32</v>
      </c>
      <c r="C32" s="39">
        <f>Data!F8</f>
        <v>2</v>
      </c>
      <c r="D32" s="1"/>
      <c r="E32" s="1"/>
      <c r="F32" s="1"/>
      <c r="G32" s="1"/>
      <c r="H32" s="38" t="s">
        <v>32</v>
      </c>
      <c r="I32" s="41">
        <f>Data!F8</f>
        <v>2</v>
      </c>
      <c r="J32" s="42">
        <f>SLOPE(Data!$G$17:$G$26,Data!$H$17:$H$26)*Data!E8+INTERCEPT(Data!$G$17:$G$26,Data!$H$17:$H$26)</f>
        <v>1.8952915944698678</v>
      </c>
      <c r="K32" s="1"/>
      <c r="L32" s="43" t="s">
        <v>24</v>
      </c>
      <c r="M32" s="44" t="s">
        <v>18</v>
      </c>
      <c r="N32" s="45">
        <f>Data!E40</f>
        <v>0.52040816326530615</v>
      </c>
      <c r="O32" s="46">
        <f>Data!F40</f>
        <v>0.47959183673469385</v>
      </c>
      <c r="P32" s="47" t="str">
        <f>Data!G40</f>
        <v>RR wins</v>
      </c>
      <c r="Q32" s="1"/>
      <c r="R32" s="1"/>
      <c r="S32" s="1"/>
      <c r="T32" s="1"/>
    </row>
    <row r="33" spans="1:20" ht="12" customHeight="1" x14ac:dyDescent="0.3">
      <c r="A33" s="1"/>
      <c r="B33" s="48" t="s">
        <v>34</v>
      </c>
      <c r="C33" s="49">
        <f>Data!F9</f>
        <v>0</v>
      </c>
      <c r="D33" s="1"/>
      <c r="E33" s="1"/>
      <c r="F33" s="1"/>
      <c r="G33" s="1"/>
      <c r="H33" s="48" t="s">
        <v>34</v>
      </c>
      <c r="I33" s="51">
        <f>Data!F9</f>
        <v>0</v>
      </c>
      <c r="J33" s="52">
        <f>SLOPE(Data!$G$17:$G$26,Data!$H$17:$H$26)*Data!E9+INTERCEPT(Data!$G$17:$G$26,Data!$H$17:$H$26)</f>
        <v>2.0216102817743726</v>
      </c>
      <c r="K33" s="1"/>
      <c r="L33" s="53" t="s">
        <v>27</v>
      </c>
      <c r="M33" s="54" t="s">
        <v>36</v>
      </c>
      <c r="N33" s="55">
        <f>Data!E41</f>
        <v>0.46938775510204084</v>
      </c>
      <c r="O33" s="56">
        <f>Data!F41</f>
        <v>0.53061224489795922</v>
      </c>
      <c r="P33" s="57" t="str">
        <f>Data!G41</f>
        <v>KKR wins</v>
      </c>
      <c r="Q33" s="1"/>
      <c r="R33" s="1"/>
      <c r="S33" s="1"/>
      <c r="T33" s="1"/>
    </row>
    <row r="34" spans="1:20" ht="12" customHeight="1" x14ac:dyDescent="0.3">
      <c r="A34" s="1"/>
      <c r="B34" s="38" t="s">
        <v>36</v>
      </c>
      <c r="C34" s="39">
        <f>Data!F10</f>
        <v>1</v>
      </c>
      <c r="D34" s="1"/>
      <c r="E34" s="1"/>
      <c r="F34" s="1"/>
      <c r="G34" s="1"/>
      <c r="H34" s="38" t="s">
        <v>36</v>
      </c>
      <c r="I34" s="41">
        <f>Data!F10</f>
        <v>1</v>
      </c>
      <c r="J34" s="42">
        <f>SLOPE(Data!$G$17:$G$26,Data!$H$17:$H$26)*Data!E10+INTERCEPT(Data!$G$17:$G$26,Data!$H$17:$H$26)</f>
        <v>0.3730443627155795</v>
      </c>
      <c r="K34" s="1"/>
      <c r="L34" s="43" t="s">
        <v>29</v>
      </c>
      <c r="M34" s="44" t="s">
        <v>38</v>
      </c>
      <c r="N34" s="45">
        <f>Data!E42</f>
        <v>0.45370370370370372</v>
      </c>
      <c r="O34" s="46">
        <f>Data!F42</f>
        <v>0.54629629629629628</v>
      </c>
      <c r="P34" s="47" t="str">
        <f>Data!G42</f>
        <v>CSK wins</v>
      </c>
      <c r="Q34" s="1"/>
      <c r="R34" s="1"/>
      <c r="S34" s="1"/>
      <c r="T34" s="1"/>
    </row>
    <row r="35" spans="1:20" ht="12" customHeight="1" x14ac:dyDescent="0.3">
      <c r="A35" s="1"/>
      <c r="B35" s="48" t="s">
        <v>38</v>
      </c>
      <c r="C35" s="49">
        <f>Data!F11</f>
        <v>0</v>
      </c>
      <c r="D35" s="1"/>
      <c r="E35" s="1"/>
      <c r="F35" s="1"/>
      <c r="G35" s="1"/>
      <c r="H35" s="48" t="s">
        <v>38</v>
      </c>
      <c r="I35" s="51">
        <f>Data!F11</f>
        <v>0</v>
      </c>
      <c r="J35" s="52">
        <f>SLOPE(Data!$G$17:$G$26,Data!$H$17:$H$26)*Data!E11+INTERCEPT(Data!$G$17:$G$26,Data!$H$17:$H$26)</f>
        <v>-0.2189406718555329</v>
      </c>
      <c r="K35" s="1"/>
      <c r="L35" s="53" t="s">
        <v>34</v>
      </c>
      <c r="M35" s="54" t="s">
        <v>21</v>
      </c>
      <c r="N35" s="55">
        <f>Data!E43</f>
        <v>0.53846153846153844</v>
      </c>
      <c r="O35" s="56">
        <f>Data!F43</f>
        <v>0.46153846153846156</v>
      </c>
      <c r="P35" s="57" t="str">
        <f>Data!G43</f>
        <v>GT wins</v>
      </c>
      <c r="Q35" s="1"/>
      <c r="R35" s="1"/>
      <c r="S35" s="1"/>
      <c r="T35" s="1"/>
    </row>
    <row r="36" spans="1:20" ht="15" customHeight="1" x14ac:dyDescent="0.3">
      <c r="A36" s="1"/>
      <c r="B36" s="1"/>
      <c r="C36" s="1"/>
      <c r="D36" s="1"/>
      <c r="E36" s="1"/>
      <c r="F36" s="1"/>
      <c r="G36" s="1"/>
      <c r="H36" s="1"/>
      <c r="I36" s="1"/>
      <c r="J36" s="1"/>
      <c r="K36" s="1"/>
      <c r="L36" s="1"/>
      <c r="M36" s="1"/>
      <c r="N36" s="1"/>
      <c r="O36" s="1"/>
      <c r="P36" s="1"/>
      <c r="Q36" s="1"/>
      <c r="R36" s="1"/>
      <c r="S36" s="1"/>
      <c r="T36" s="1"/>
    </row>
    <row r="37" spans="1:20" ht="15" customHeight="1" x14ac:dyDescent="0.3">
      <c r="A37" s="1"/>
      <c r="B37" s="1"/>
      <c r="C37" s="1"/>
      <c r="D37" s="1"/>
      <c r="E37" s="1"/>
      <c r="F37" s="1"/>
      <c r="G37" s="1"/>
      <c r="H37" s="1"/>
      <c r="I37" s="1"/>
      <c r="J37" s="1"/>
      <c r="K37" s="1"/>
      <c r="L37" s="1"/>
      <c r="M37" s="1"/>
      <c r="N37" s="1"/>
      <c r="O37" s="1"/>
      <c r="P37" s="1"/>
      <c r="Q37" s="1"/>
      <c r="R37" s="1"/>
      <c r="S37" s="1"/>
      <c r="T37" s="1"/>
    </row>
    <row r="38" spans="1:20" ht="15" customHeight="1" x14ac:dyDescent="0.3">
      <c r="A38" s="1"/>
      <c r="B38" s="1"/>
      <c r="C38" s="1"/>
      <c r="D38" s="1"/>
      <c r="E38" s="1"/>
      <c r="F38" s="1"/>
      <c r="G38" s="1"/>
      <c r="H38" s="1"/>
      <c r="I38" s="1"/>
      <c r="J38" s="1"/>
      <c r="K38" s="1"/>
      <c r="L38" s="1"/>
      <c r="M38" s="1"/>
      <c r="N38" s="1"/>
      <c r="O38" s="1"/>
      <c r="P38" s="1"/>
      <c r="Q38" s="1"/>
      <c r="R38" s="1"/>
      <c r="S38" s="1"/>
      <c r="T38" s="1"/>
    </row>
    <row r="39" spans="1:20" ht="15.75" customHeight="1" x14ac:dyDescent="0.3">
      <c r="A39" s="1"/>
      <c r="B39" s="134" t="s">
        <v>49</v>
      </c>
      <c r="C39" s="134"/>
      <c r="D39" s="134"/>
      <c r="E39" s="134"/>
      <c r="F39" s="134"/>
      <c r="G39" s="134"/>
      <c r="H39" s="134"/>
      <c r="I39" s="134"/>
      <c r="J39" s="134"/>
      <c r="K39" s="134"/>
      <c r="L39" s="134"/>
      <c r="M39" s="134"/>
      <c r="N39" s="134"/>
      <c r="O39" s="134"/>
      <c r="P39" s="134"/>
      <c r="Q39" s="134"/>
      <c r="R39" s="134"/>
      <c r="S39" s="134"/>
      <c r="T39" s="1"/>
    </row>
    <row r="40" spans="1:20" ht="15" customHeight="1" x14ac:dyDescent="0.3">
      <c r="A40" s="1"/>
      <c r="B40" s="135" t="s">
        <v>44</v>
      </c>
      <c r="C40" s="135"/>
      <c r="D40" s="136" t="s">
        <v>45</v>
      </c>
      <c r="E40" s="136"/>
      <c r="F40" s="135" t="s">
        <v>46</v>
      </c>
      <c r="G40" s="135"/>
      <c r="H40" s="136" t="s">
        <v>47</v>
      </c>
      <c r="I40" s="136"/>
      <c r="J40" s="137" t="s">
        <v>50</v>
      </c>
      <c r="K40" s="137"/>
      <c r="L40" s="1"/>
      <c r="M40" s="138" t="s">
        <v>51</v>
      </c>
      <c r="N40" s="138"/>
      <c r="O40" s="1"/>
      <c r="P40" s="139" t="s">
        <v>52</v>
      </c>
      <c r="Q40" s="139"/>
      <c r="R40" s="139" t="s">
        <v>53</v>
      </c>
      <c r="S40" s="139"/>
      <c r="T40" s="1"/>
    </row>
    <row r="41" spans="1:20" ht="15" customHeight="1" x14ac:dyDescent="0.3">
      <c r="A41" s="1"/>
      <c r="B41" s="140" t="s">
        <v>21</v>
      </c>
      <c r="C41" s="140"/>
      <c r="D41" s="141" t="s">
        <v>38</v>
      </c>
      <c r="E41" s="141"/>
      <c r="F41" s="142">
        <f>Data!E34</f>
        <v>0.44859813084112149</v>
      </c>
      <c r="G41" s="142"/>
      <c r="H41" s="143">
        <f>Data!F34</f>
        <v>0.55140186915887845</v>
      </c>
      <c r="I41" s="143"/>
      <c r="J41" s="144" t="str">
        <f>Data!G34</f>
        <v>CSK wins</v>
      </c>
      <c r="K41" s="144"/>
      <c r="L41" s="144"/>
      <c r="M41" s="145" t="str">
        <f>IF(Data!E34&gt;0.6,"Strong Favourite",IF(Data!E34&gt;0.5,"Slight Favourite","Too Close"))</f>
        <v>Too Close</v>
      </c>
      <c r="N41" s="145"/>
      <c r="O41" s="145"/>
      <c r="P41" s="146" t="str">
        <f>IF(Data!Q2&gt;=55,"High Win%",IF(Data!Q2&gt;=49,"Mid Win%","Low Win%"))</f>
        <v>Low Win%</v>
      </c>
      <c r="Q41" s="146"/>
      <c r="R41" s="146" t="str">
        <f>IF(Data!Q11&gt;=55,"High Win%",IF(Data!Q11&gt;=49,"Mid Win%","Low Win%"))</f>
        <v>High Win%</v>
      </c>
      <c r="S41" s="146"/>
      <c r="T41" s="1"/>
    </row>
    <row r="42" spans="1:20" ht="15" customHeight="1" x14ac:dyDescent="0.3">
      <c r="A42" s="1"/>
      <c r="B42" s="147" t="s">
        <v>30</v>
      </c>
      <c r="C42" s="147"/>
      <c r="D42" s="148" t="s">
        <v>36</v>
      </c>
      <c r="E42" s="148"/>
      <c r="F42" s="149">
        <f>Data!E35</f>
        <v>0.52293577981651373</v>
      </c>
      <c r="G42" s="149"/>
      <c r="H42" s="150">
        <f>Data!F35</f>
        <v>0.47706422018348627</v>
      </c>
      <c r="I42" s="150"/>
      <c r="J42" s="151" t="str">
        <f>Data!G35</f>
        <v>MI wins</v>
      </c>
      <c r="K42" s="151"/>
      <c r="L42" s="151"/>
      <c r="M42" s="152" t="str">
        <f>IF(Data!E35&gt;0.6,"Strong Favourite",IF(Data!E35&gt;0.5,"Slight Favourite","Too Close"))</f>
        <v>Slight Favourite</v>
      </c>
      <c r="N42" s="152"/>
      <c r="O42" s="152"/>
      <c r="P42" s="153" t="str">
        <f>IF(Data!Q3&gt;=55,"High Win%",IF(Data!Q3&gt;=49,"Mid Win%","Low Win%"))</f>
        <v>Low Win%</v>
      </c>
      <c r="Q42" s="153"/>
      <c r="R42" s="153" t="str">
        <f>IF(Data!Q10&gt;=55,"High Win%",IF(Data!Q10&gt;=49,"Mid Win%","Low Win%"))</f>
        <v>Mid Win%</v>
      </c>
      <c r="S42" s="153"/>
      <c r="T42" s="1"/>
    </row>
    <row r="43" spans="1:20" ht="15" customHeight="1" x14ac:dyDescent="0.3">
      <c r="A43" s="1"/>
      <c r="B43" s="140" t="s">
        <v>24</v>
      </c>
      <c r="C43" s="140"/>
      <c r="D43" s="141" t="s">
        <v>27</v>
      </c>
      <c r="E43" s="141"/>
      <c r="F43" s="142">
        <f>Data!E36</f>
        <v>0.52577319587628868</v>
      </c>
      <c r="G43" s="142"/>
      <c r="H43" s="143">
        <f>Data!F36</f>
        <v>0.47422680412371132</v>
      </c>
      <c r="I43" s="143"/>
      <c r="J43" s="144" t="str">
        <f>Data!G36</f>
        <v>RR wins</v>
      </c>
      <c r="K43" s="144"/>
      <c r="L43" s="144"/>
      <c r="M43" s="145" t="str">
        <f>IF(Data!E36&gt;0.6,"Strong Favourite",IF(Data!E36&gt;0.5,"Slight Favourite","Too Close"))</f>
        <v>Slight Favourite</v>
      </c>
      <c r="N43" s="145"/>
      <c r="O43" s="145"/>
      <c r="P43" s="146" t="str">
        <f>IF(Data!Q4&gt;=55,"High Win%",IF(Data!Q4&gt;=49,"Mid Win%","Low Win%"))</f>
        <v>Mid Win%</v>
      </c>
      <c r="Q43" s="146"/>
      <c r="R43" s="146" t="str">
        <f>IF(Data!Q5&gt;=55,"High Win%",IF(Data!Q5&gt;=49,"Mid Win%","Low Win%"))</f>
        <v>Low Win%</v>
      </c>
      <c r="S43" s="146"/>
      <c r="T43" s="1"/>
    </row>
    <row r="44" spans="1:20" ht="15" customHeight="1" x14ac:dyDescent="0.3">
      <c r="A44" s="1"/>
      <c r="B44" s="147" t="s">
        <v>18</v>
      </c>
      <c r="C44" s="147"/>
      <c r="D44" s="148" t="s">
        <v>29</v>
      </c>
      <c r="E44" s="148"/>
      <c r="F44" s="149">
        <f>Data!E37</f>
        <v>0.48958333333333331</v>
      </c>
      <c r="G44" s="149"/>
      <c r="H44" s="150">
        <f>Data!F37</f>
        <v>0.51041666666666663</v>
      </c>
      <c r="I44" s="150"/>
      <c r="J44" s="151" t="str">
        <f>Data!G37</f>
        <v>SRH wins</v>
      </c>
      <c r="K44" s="151"/>
      <c r="L44" s="151"/>
      <c r="M44" s="152" t="str">
        <f>IF(Data!E37&gt;0.6,"Strong Favourite",IF(Data!E37&gt;0.5,"Slight Favourite","Too Close"))</f>
        <v>Too Close</v>
      </c>
      <c r="N44" s="152"/>
      <c r="O44" s="152"/>
      <c r="P44" s="153" t="str">
        <f>IF(Data!Q5&gt;=55,"High Win%",IF(Data!Q5&gt;=49,"Mid Win%","Low Win%"))</f>
        <v>Low Win%</v>
      </c>
      <c r="Q44" s="153"/>
      <c r="R44" s="153" t="str">
        <f>IF(Data!Q6&gt;=55,"High Win%",IF(Data!Q6&gt;=49,"Mid Win%","Low Win%"))</f>
        <v>Mid Win%</v>
      </c>
      <c r="S44" s="153"/>
      <c r="T44" s="1"/>
    </row>
    <row r="45" spans="1:20" ht="15" customHeight="1" x14ac:dyDescent="0.3">
      <c r="A45" s="1"/>
      <c r="B45" s="140" t="s">
        <v>34</v>
      </c>
      <c r="C45" s="140"/>
      <c r="D45" s="141" t="s">
        <v>32</v>
      </c>
      <c r="E45" s="141"/>
      <c r="F45" s="142">
        <f>Data!E38</f>
        <v>0.52830188679245282</v>
      </c>
      <c r="G45" s="142"/>
      <c r="H45" s="143">
        <f>Data!F38</f>
        <v>0.47169811320754718</v>
      </c>
      <c r="I45" s="143"/>
      <c r="J45" s="144" t="str">
        <f>Data!G38</f>
        <v>GT wins</v>
      </c>
      <c r="K45" s="144"/>
      <c r="L45" s="144"/>
      <c r="M45" s="145" t="str">
        <f>IF(Data!E38&gt;0.6,"Strong Favourite",IF(Data!E38&gt;0.5,"Slight Favourite","Too Close"))</f>
        <v>Slight Favourite</v>
      </c>
      <c r="N45" s="145"/>
      <c r="O45" s="145"/>
      <c r="P45" s="146" t="str">
        <f>IF(Data!Q6&gt;=55,"High Win%",IF(Data!Q6&gt;=49,"Mid Win%","Low Win%"))</f>
        <v>Mid Win%</v>
      </c>
      <c r="Q45" s="146"/>
      <c r="R45" s="146" t="str">
        <f>IF(Data!Q8&gt;=55,"High Win%",IF(Data!Q8&gt;=49,"Mid Win%","Low Win%"))</f>
        <v>Mid Win%</v>
      </c>
      <c r="S45" s="146"/>
      <c r="T45" s="1"/>
    </row>
    <row r="46" spans="1:20" ht="15" customHeight="1" x14ac:dyDescent="0.3">
      <c r="A46" s="1"/>
      <c r="B46" s="147" t="s">
        <v>21</v>
      </c>
      <c r="C46" s="147"/>
      <c r="D46" s="148" t="s">
        <v>30</v>
      </c>
      <c r="E46" s="148"/>
      <c r="F46" s="149">
        <f>Data!E39</f>
        <v>0.45714285714285713</v>
      </c>
      <c r="G46" s="149"/>
      <c r="H46" s="150">
        <f>Data!F39</f>
        <v>0.54285714285714282</v>
      </c>
      <c r="I46" s="150"/>
      <c r="J46" s="151" t="str">
        <f>Data!G39</f>
        <v>MI wins</v>
      </c>
      <c r="K46" s="151"/>
      <c r="L46" s="151"/>
      <c r="M46" s="152" t="str">
        <f>IF(Data!E39&gt;0.6,"Strong Favourite",IF(Data!E39&gt;0.5,"Slight Favourite","Too Close"))</f>
        <v>Too Close</v>
      </c>
      <c r="N46" s="152"/>
      <c r="O46" s="152"/>
      <c r="P46" s="153" t="str">
        <f>IF(Data!Q7&gt;=55,"High Win%",IF(Data!Q7&gt;=49,"Mid Win%","Low Win%"))</f>
        <v>High Win%</v>
      </c>
      <c r="Q46" s="153"/>
      <c r="R46" s="153" t="str">
        <f>IF(Data!Q7&gt;=55,"High Win%",IF(Data!Q7&gt;=49,"Mid Win%","Low Win%"))</f>
        <v>High Win%</v>
      </c>
      <c r="S46" s="153"/>
      <c r="T46" s="1"/>
    </row>
    <row r="47" spans="1:20" ht="15" customHeight="1" x14ac:dyDescent="0.3">
      <c r="A47" s="1"/>
      <c r="B47" s="140" t="s">
        <v>24</v>
      </c>
      <c r="C47" s="140"/>
      <c r="D47" s="141" t="s">
        <v>18</v>
      </c>
      <c r="E47" s="141"/>
      <c r="F47" s="142">
        <f>Data!E40</f>
        <v>0.52040816326530615</v>
      </c>
      <c r="G47" s="142"/>
      <c r="H47" s="143">
        <f>Data!F40</f>
        <v>0.47959183673469385</v>
      </c>
      <c r="I47" s="143"/>
      <c r="J47" s="144" t="str">
        <f>Data!G40</f>
        <v>RR wins</v>
      </c>
      <c r="K47" s="144"/>
      <c r="L47" s="144"/>
      <c r="M47" s="145" t="str">
        <f>IF(Data!E40&gt;0.6,"Strong Favourite",IF(Data!E40&gt;0.5,"Slight Favourite","Too Close"))</f>
        <v>Slight Favourite</v>
      </c>
      <c r="N47" s="145"/>
      <c r="O47" s="145"/>
      <c r="P47" s="146" t="str">
        <f>IF(Data!Q8&gt;=55,"High Win%",IF(Data!Q8&gt;=49,"Mid Win%","Low Win%"))</f>
        <v>Mid Win%</v>
      </c>
      <c r="Q47" s="146"/>
      <c r="R47" s="146" t="str">
        <f>IF(Data!Q2&gt;=55,"High Win%",IF(Data!Q2&gt;=49,"Mid Win%","Low Win%"))</f>
        <v>Low Win%</v>
      </c>
      <c r="S47" s="146"/>
      <c r="T47" s="1"/>
    </row>
    <row r="48" spans="1:20" ht="15" customHeight="1" x14ac:dyDescent="0.3">
      <c r="A48" s="1"/>
      <c r="B48" s="147" t="s">
        <v>27</v>
      </c>
      <c r="C48" s="147"/>
      <c r="D48" s="148" t="s">
        <v>36</v>
      </c>
      <c r="E48" s="148"/>
      <c r="F48" s="149">
        <f>Data!E41</f>
        <v>0.46938775510204084</v>
      </c>
      <c r="G48" s="149"/>
      <c r="H48" s="150">
        <f>Data!F41</f>
        <v>0.53061224489795922</v>
      </c>
      <c r="I48" s="150"/>
      <c r="J48" s="151" t="str">
        <f>Data!G41</f>
        <v>KKR wins</v>
      </c>
      <c r="K48" s="151"/>
      <c r="L48" s="151"/>
      <c r="M48" s="152" t="str">
        <f>IF(Data!E41&gt;0.6,"Strong Favourite",IF(Data!E41&gt;0.5,"Slight Favourite","Too Close"))</f>
        <v>Too Close</v>
      </c>
      <c r="N48" s="152"/>
      <c r="O48" s="152"/>
      <c r="P48" s="153" t="str">
        <f>IF(Data!Q9&gt;=55,"High Win%",IF(Data!Q9&gt;=49,"Mid Win%","Low Win%"))</f>
        <v>High Win%</v>
      </c>
      <c r="Q48" s="153"/>
      <c r="R48" s="153" t="str">
        <f>IF(Data!Q10&gt;=55,"High Win%",IF(Data!Q10&gt;=49,"Mid Win%","Low Win%"))</f>
        <v>Mid Win%</v>
      </c>
      <c r="S48" s="153"/>
      <c r="T48" s="1"/>
    </row>
    <row r="49" spans="1:20" ht="15" customHeight="1" x14ac:dyDescent="0.3">
      <c r="A49" s="1"/>
      <c r="B49" s="140" t="s">
        <v>29</v>
      </c>
      <c r="C49" s="140"/>
      <c r="D49" s="141" t="s">
        <v>38</v>
      </c>
      <c r="E49" s="141"/>
      <c r="F49" s="142">
        <f>Data!E42</f>
        <v>0.45370370370370372</v>
      </c>
      <c r="G49" s="142"/>
      <c r="H49" s="143">
        <f>Data!F42</f>
        <v>0.54629629629629628</v>
      </c>
      <c r="I49" s="143"/>
      <c r="J49" s="144" t="str">
        <f>Data!G42</f>
        <v>CSK wins</v>
      </c>
      <c r="K49" s="144"/>
      <c r="L49" s="144"/>
      <c r="M49" s="145" t="str">
        <f>IF(Data!E42&gt;0.6,"Strong Favourite",IF(Data!E42&gt;0.5,"Slight Favourite","Too Close"))</f>
        <v>Too Close</v>
      </c>
      <c r="N49" s="145"/>
      <c r="O49" s="145"/>
      <c r="P49" s="146" t="str">
        <f>IF(Data!Q10&gt;=55,"High Win%",IF(Data!Q10&gt;=49,"Mid Win%","Low Win%"))</f>
        <v>Mid Win%</v>
      </c>
      <c r="Q49" s="146"/>
      <c r="R49" s="146" t="str">
        <f>IF(Data!Q11&gt;=55,"High Win%",IF(Data!Q11&gt;=49,"Mid Win%","Low Win%"))</f>
        <v>High Win%</v>
      </c>
      <c r="S49" s="146"/>
      <c r="T49" s="1"/>
    </row>
    <row r="50" spans="1:20" ht="15" customHeight="1" x14ac:dyDescent="0.3">
      <c r="A50" s="1"/>
      <c r="B50" s="147" t="s">
        <v>34</v>
      </c>
      <c r="C50" s="147"/>
      <c r="D50" s="148" t="s">
        <v>21</v>
      </c>
      <c r="E50" s="148"/>
      <c r="F50" s="149">
        <f>Data!E43</f>
        <v>0.53846153846153844</v>
      </c>
      <c r="G50" s="149"/>
      <c r="H50" s="150">
        <f>Data!F43</f>
        <v>0.46153846153846156</v>
      </c>
      <c r="I50" s="150"/>
      <c r="J50" s="151" t="str">
        <f>Data!G43</f>
        <v>GT wins</v>
      </c>
      <c r="K50" s="151"/>
      <c r="L50" s="151"/>
      <c r="M50" s="152" t="str">
        <f>IF(Data!E43&gt;0.6,"Strong Favourite",IF(Data!E43&gt;0.5,"Slight Favourite","Too Close"))</f>
        <v>Slight Favourite</v>
      </c>
      <c r="N50" s="152"/>
      <c r="O50" s="152"/>
      <c r="P50" s="153" t="str">
        <f>IF(Data!Q11&gt;=55,"High Win%",IF(Data!Q11&gt;=49,"Mid Win%","Low Win%"))</f>
        <v>High Win%</v>
      </c>
      <c r="Q50" s="153"/>
      <c r="R50" s="153" t="str">
        <f>IF(Data!Q3&gt;=55,"High Win%",IF(Data!Q3&gt;=49,"Mid Win%","Low Win%"))</f>
        <v>Low Win%</v>
      </c>
      <c r="S50" s="153"/>
      <c r="T50" s="1"/>
    </row>
    <row r="51" spans="1:20" ht="15" customHeight="1" x14ac:dyDescent="0.3">
      <c r="A51" s="1"/>
      <c r="B51" s="1"/>
      <c r="C51" s="1"/>
      <c r="D51" s="1"/>
      <c r="E51" s="1"/>
      <c r="F51" s="1"/>
      <c r="G51" s="1"/>
      <c r="H51" s="1"/>
      <c r="I51" s="1"/>
      <c r="J51" s="1"/>
      <c r="K51" s="1"/>
      <c r="L51" s="1"/>
      <c r="M51" s="1"/>
      <c r="N51" s="1"/>
      <c r="O51" s="1"/>
      <c r="P51" s="1"/>
      <c r="Q51" s="1"/>
      <c r="R51" s="1"/>
      <c r="S51" s="1"/>
      <c r="T51" s="1"/>
    </row>
    <row r="52" spans="1:20" ht="15.75" customHeight="1" x14ac:dyDescent="0.3">
      <c r="A52" s="1"/>
      <c r="B52" s="126" t="s">
        <v>54</v>
      </c>
      <c r="C52" s="126"/>
      <c r="D52" s="126"/>
      <c r="E52" s="126"/>
      <c r="F52" s="126"/>
      <c r="G52" s="126"/>
      <c r="H52" s="126"/>
      <c r="I52" s="126"/>
      <c r="J52" s="126"/>
      <c r="K52" s="126"/>
      <c r="L52" s="126"/>
      <c r="M52" s="126"/>
      <c r="N52" s="126"/>
      <c r="O52" s="126"/>
      <c r="P52" s="126"/>
      <c r="Q52" s="126"/>
      <c r="R52" s="126"/>
      <c r="S52" s="126"/>
      <c r="T52" s="1"/>
    </row>
    <row r="53" spans="1:20" ht="15.75" customHeight="1" x14ac:dyDescent="0.3">
      <c r="A53" s="1"/>
      <c r="B53" s="137" t="s">
        <v>55</v>
      </c>
      <c r="C53" s="137"/>
      <c r="D53" s="1"/>
      <c r="E53" s="137" t="s">
        <v>33</v>
      </c>
      <c r="F53" s="137"/>
      <c r="G53" s="1"/>
      <c r="H53" s="137" t="s">
        <v>3</v>
      </c>
      <c r="I53" s="137"/>
      <c r="J53" s="1"/>
      <c r="K53" s="137" t="s">
        <v>56</v>
      </c>
      <c r="L53" s="137"/>
      <c r="M53" s="1"/>
      <c r="N53" s="137" t="s">
        <v>57</v>
      </c>
      <c r="O53" s="137"/>
      <c r="P53" s="1"/>
      <c r="Q53" s="137" t="s">
        <v>58</v>
      </c>
      <c r="R53" s="137"/>
      <c r="S53" s="1"/>
      <c r="T53" s="1"/>
    </row>
    <row r="54" spans="1:20" ht="21.75" customHeight="1" x14ac:dyDescent="0.3">
      <c r="A54" s="1"/>
      <c r="B54" s="155">
        <f>Data!H2</f>
        <v>2.6</v>
      </c>
      <c r="C54" s="155"/>
      <c r="D54" s="1"/>
      <c r="E54" s="155">
        <f>Data!H8</f>
        <v>2</v>
      </c>
      <c r="F54" s="155"/>
      <c r="G54" s="1"/>
      <c r="H54" s="156">
        <f>Data!H3</f>
        <v>6</v>
      </c>
      <c r="I54" s="156"/>
      <c r="J54" s="1"/>
      <c r="K54" s="157">
        <f>Data!H6</f>
        <v>2.0655911179772892</v>
      </c>
      <c r="L54" s="157"/>
      <c r="M54" s="1"/>
      <c r="N54" s="155">
        <f>Data!H10</f>
        <v>51.5</v>
      </c>
      <c r="O54" s="155"/>
      <c r="P54" s="1"/>
      <c r="Q54" s="158">
        <f>Data!H14</f>
        <v>1</v>
      </c>
      <c r="R54" s="158"/>
      <c r="S54" s="1"/>
      <c r="T54" s="1"/>
    </row>
    <row r="55" spans="1:20" ht="12.75" customHeight="1" x14ac:dyDescent="0.3">
      <c r="A55" s="1"/>
      <c r="B55" s="154" t="s">
        <v>59</v>
      </c>
      <c r="C55" s="154"/>
      <c r="D55" s="1"/>
      <c r="E55" s="154" t="s">
        <v>59</v>
      </c>
      <c r="F55" s="154"/>
      <c r="G55" s="1"/>
      <c r="H55" s="154" t="s">
        <v>59</v>
      </c>
      <c r="I55" s="154"/>
      <c r="J55" s="1"/>
      <c r="K55" s="154" t="s">
        <v>59</v>
      </c>
      <c r="L55" s="154"/>
      <c r="M55" s="1"/>
      <c r="N55" s="154" t="s">
        <v>59</v>
      </c>
      <c r="O55" s="154"/>
      <c r="P55" s="1"/>
      <c r="Q55" s="154" t="s">
        <v>59</v>
      </c>
      <c r="R55" s="154"/>
      <c r="S55" s="1"/>
      <c r="T55" s="1"/>
    </row>
    <row r="56" spans="1:20" ht="15" customHeight="1" x14ac:dyDescent="0.3">
      <c r="A56" s="1"/>
      <c r="B56" s="1"/>
      <c r="C56" s="1"/>
      <c r="D56" s="1"/>
      <c r="E56" s="1"/>
      <c r="F56" s="1"/>
      <c r="G56" s="1"/>
      <c r="H56" s="1"/>
      <c r="I56" s="1"/>
      <c r="J56" s="1"/>
      <c r="K56" s="1"/>
      <c r="L56" s="1"/>
      <c r="M56" s="1"/>
      <c r="N56" s="1"/>
      <c r="O56" s="1"/>
      <c r="P56" s="1"/>
      <c r="Q56" s="1"/>
      <c r="R56" s="1"/>
      <c r="S56" s="1"/>
      <c r="T56" s="1"/>
    </row>
    <row r="57" spans="1:20" ht="15" customHeight="1" x14ac:dyDescent="0.3">
      <c r="A57" s="1"/>
      <c r="B57" s="1"/>
      <c r="C57" s="1"/>
      <c r="D57" s="1"/>
      <c r="E57" s="1"/>
      <c r="F57" s="1"/>
      <c r="G57" s="1"/>
      <c r="H57" s="1"/>
      <c r="I57" s="1"/>
      <c r="J57" s="1"/>
      <c r="K57" s="1"/>
      <c r="L57" s="1"/>
      <c r="M57" s="1"/>
      <c r="N57" s="1"/>
      <c r="O57" s="1"/>
      <c r="P57" s="1"/>
      <c r="Q57" s="1"/>
      <c r="R57" s="1"/>
      <c r="S57" s="1"/>
      <c r="T57" s="1"/>
    </row>
    <row r="58" spans="1:20" ht="15" customHeight="1" x14ac:dyDescent="0.3">
      <c r="A58" s="1"/>
      <c r="B58" s="1"/>
      <c r="C58" s="1"/>
      <c r="D58" s="1"/>
      <c r="E58" s="1"/>
      <c r="F58" s="1"/>
      <c r="G58" s="1"/>
      <c r="H58" s="1"/>
      <c r="I58" s="1"/>
      <c r="J58" s="1"/>
      <c r="K58" s="1"/>
      <c r="L58" s="1"/>
      <c r="M58" s="1"/>
      <c r="N58" s="1"/>
      <c r="O58" s="1"/>
      <c r="P58" s="1"/>
      <c r="Q58" s="1"/>
      <c r="R58" s="1"/>
      <c r="S58" s="1"/>
      <c r="T58" s="1"/>
    </row>
    <row r="59" spans="1:20" ht="15" customHeight="1" x14ac:dyDescent="0.3">
      <c r="A59" s="1"/>
      <c r="B59" s="1"/>
      <c r="C59" s="1"/>
      <c r="D59" s="1"/>
      <c r="E59" s="1"/>
      <c r="F59" s="1"/>
      <c r="G59" s="1"/>
      <c r="H59" s="1"/>
      <c r="I59" s="1"/>
      <c r="J59" s="1"/>
      <c r="K59" s="1"/>
      <c r="L59" s="1"/>
      <c r="M59" s="1"/>
      <c r="N59" s="1"/>
      <c r="O59" s="1"/>
      <c r="P59" s="1"/>
      <c r="Q59" s="1"/>
      <c r="R59" s="1"/>
      <c r="S59" s="1"/>
      <c r="T59" s="1"/>
    </row>
  </sheetData>
  <mergeCells count="151">
    <mergeCell ref="B55:C55"/>
    <mergeCell ref="E55:F55"/>
    <mergeCell ref="H55:I55"/>
    <mergeCell ref="K55:L55"/>
    <mergeCell ref="N55:O55"/>
    <mergeCell ref="Q55:R55"/>
    <mergeCell ref="B53:C53"/>
    <mergeCell ref="E53:F53"/>
    <mergeCell ref="H53:I53"/>
    <mergeCell ref="K53:L53"/>
    <mergeCell ref="N53:O53"/>
    <mergeCell ref="Q53:R53"/>
    <mergeCell ref="B54:C54"/>
    <mergeCell ref="E54:F54"/>
    <mergeCell ref="H54:I54"/>
    <mergeCell ref="K54:L54"/>
    <mergeCell ref="N54:O54"/>
    <mergeCell ref="Q54:R54"/>
    <mergeCell ref="B50:C50"/>
    <mergeCell ref="D50:E50"/>
    <mergeCell ref="F50:G50"/>
    <mergeCell ref="H50:I50"/>
    <mergeCell ref="J50:L50"/>
    <mergeCell ref="M50:O50"/>
    <mergeCell ref="P50:Q50"/>
    <mergeCell ref="R50:S50"/>
    <mergeCell ref="B52:S52"/>
    <mergeCell ref="B48:C48"/>
    <mergeCell ref="D48:E48"/>
    <mergeCell ref="F48:G48"/>
    <mergeCell ref="H48:I48"/>
    <mergeCell ref="J48:L48"/>
    <mergeCell ref="M48:O48"/>
    <mergeCell ref="P48:Q48"/>
    <mergeCell ref="R48:S48"/>
    <mergeCell ref="B49:C49"/>
    <mergeCell ref="D49:E49"/>
    <mergeCell ref="F49:G49"/>
    <mergeCell ref="H49:I49"/>
    <mergeCell ref="J49:L49"/>
    <mergeCell ref="M49:O49"/>
    <mergeCell ref="P49:Q49"/>
    <mergeCell ref="R49:S49"/>
    <mergeCell ref="B46:C46"/>
    <mergeCell ref="D46:E46"/>
    <mergeCell ref="F46:G46"/>
    <mergeCell ref="H46:I46"/>
    <mergeCell ref="J46:L46"/>
    <mergeCell ref="M46:O46"/>
    <mergeCell ref="P46:Q46"/>
    <mergeCell ref="R46:S46"/>
    <mergeCell ref="B47:C47"/>
    <mergeCell ref="D47:E47"/>
    <mergeCell ref="F47:G47"/>
    <mergeCell ref="H47:I47"/>
    <mergeCell ref="J47:L47"/>
    <mergeCell ref="M47:O47"/>
    <mergeCell ref="P47:Q47"/>
    <mergeCell ref="R47:S47"/>
    <mergeCell ref="B44:C44"/>
    <mergeCell ref="D44:E44"/>
    <mergeCell ref="F44:G44"/>
    <mergeCell ref="H44:I44"/>
    <mergeCell ref="J44:L44"/>
    <mergeCell ref="M44:O44"/>
    <mergeCell ref="P44:Q44"/>
    <mergeCell ref="R44:S44"/>
    <mergeCell ref="B45:C45"/>
    <mergeCell ref="D45:E45"/>
    <mergeCell ref="F45:G45"/>
    <mergeCell ref="H45:I45"/>
    <mergeCell ref="J45:L45"/>
    <mergeCell ref="M45:O45"/>
    <mergeCell ref="P45:Q45"/>
    <mergeCell ref="R45:S45"/>
    <mergeCell ref="B42:C42"/>
    <mergeCell ref="D42:E42"/>
    <mergeCell ref="F42:G42"/>
    <mergeCell ref="H42:I42"/>
    <mergeCell ref="J42:L42"/>
    <mergeCell ref="M42:O42"/>
    <mergeCell ref="P42:Q42"/>
    <mergeCell ref="R42:S42"/>
    <mergeCell ref="B43:C43"/>
    <mergeCell ref="D43:E43"/>
    <mergeCell ref="F43:G43"/>
    <mergeCell ref="H43:I43"/>
    <mergeCell ref="J43:L43"/>
    <mergeCell ref="M43:O43"/>
    <mergeCell ref="P43:Q43"/>
    <mergeCell ref="R43:S43"/>
    <mergeCell ref="B40:C40"/>
    <mergeCell ref="D40:E40"/>
    <mergeCell ref="F40:G40"/>
    <mergeCell ref="H40:I40"/>
    <mergeCell ref="J40:K40"/>
    <mergeCell ref="M40:N40"/>
    <mergeCell ref="P40:Q40"/>
    <mergeCell ref="R40:S40"/>
    <mergeCell ref="B41:C41"/>
    <mergeCell ref="D41:E41"/>
    <mergeCell ref="F41:G41"/>
    <mergeCell ref="H41:I41"/>
    <mergeCell ref="J41:L41"/>
    <mergeCell ref="M41:O41"/>
    <mergeCell ref="P41:Q41"/>
    <mergeCell ref="R41:S41"/>
    <mergeCell ref="K19:M19"/>
    <mergeCell ref="N19:O19"/>
    <mergeCell ref="K20:M20"/>
    <mergeCell ref="N20:O20"/>
    <mergeCell ref="K21:M21"/>
    <mergeCell ref="N21:O21"/>
    <mergeCell ref="B24:J24"/>
    <mergeCell ref="K24:S24"/>
    <mergeCell ref="B39:S39"/>
    <mergeCell ref="K15:M15"/>
    <mergeCell ref="N15:O15"/>
    <mergeCell ref="P15:Q15"/>
    <mergeCell ref="R15:S15"/>
    <mergeCell ref="K16:M16"/>
    <mergeCell ref="N16:O16"/>
    <mergeCell ref="K17:M17"/>
    <mergeCell ref="N17:O17"/>
    <mergeCell ref="K18:M18"/>
    <mergeCell ref="N18:O18"/>
    <mergeCell ref="B11:J11"/>
    <mergeCell ref="K11:S11"/>
    <mergeCell ref="K12:O12"/>
    <mergeCell ref="P12:S12"/>
    <mergeCell ref="K13:M13"/>
    <mergeCell ref="N13:O13"/>
    <mergeCell ref="P13:Q13"/>
    <mergeCell ref="R13:S13"/>
    <mergeCell ref="K14:M14"/>
    <mergeCell ref="N14:O14"/>
    <mergeCell ref="P14:Q14"/>
    <mergeCell ref="R14:S14"/>
    <mergeCell ref="B3:S3"/>
    <mergeCell ref="B7:D7"/>
    <mergeCell ref="E7:G7"/>
    <mergeCell ref="H7:J7"/>
    <mergeCell ref="K7:M7"/>
    <mergeCell ref="N7:P7"/>
    <mergeCell ref="Q7:S7"/>
    <mergeCell ref="B8:D8"/>
    <mergeCell ref="E8:G8"/>
    <mergeCell ref="H8:J8"/>
    <mergeCell ref="K8:M8"/>
    <mergeCell ref="N8:P8"/>
    <mergeCell ref="Q8:S8"/>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0"/>
  <sheetViews>
    <sheetView showGridLines="0" zoomScale="82" zoomScaleNormal="100" workbookViewId="0">
      <selection activeCell="G67" sqref="G67"/>
    </sheetView>
  </sheetViews>
  <sheetFormatPr defaultColWidth="8.6640625" defaultRowHeight="14.4" x14ac:dyDescent="0.3"/>
  <cols>
    <col min="1" max="1" width="3" customWidth="1"/>
    <col min="2" max="2" width="206.6640625" customWidth="1"/>
    <col min="3" max="3" width="3" customWidth="1"/>
  </cols>
  <sheetData>
    <row r="1" spans="1:3" ht="15.75" customHeight="1" x14ac:dyDescent="0.3">
      <c r="A1" s="106"/>
      <c r="B1" s="115" t="s">
        <v>137</v>
      </c>
      <c r="C1" s="106"/>
    </row>
    <row r="2" spans="1:3" ht="15.75" customHeight="1" x14ac:dyDescent="0.3">
      <c r="A2" s="106"/>
      <c r="B2" s="115" t="s">
        <v>136</v>
      </c>
      <c r="C2" s="106"/>
    </row>
    <row r="3" spans="1:3" ht="13.5" customHeight="1" x14ac:dyDescent="0.3">
      <c r="A3" s="106"/>
      <c r="B3" s="113" t="s">
        <v>78</v>
      </c>
      <c r="C3" s="106"/>
    </row>
    <row r="4" spans="1:3" ht="13.5" customHeight="1" x14ac:dyDescent="0.3">
      <c r="A4" s="106"/>
      <c r="B4" s="107"/>
      <c r="C4" s="106"/>
    </row>
    <row r="5" spans="1:3" ht="19.5" customHeight="1" x14ac:dyDescent="0.3">
      <c r="A5" s="2"/>
      <c r="B5" s="108" t="s">
        <v>79</v>
      </c>
      <c r="C5" s="2"/>
    </row>
    <row r="6" spans="1:3" ht="13.5" customHeight="1" x14ac:dyDescent="0.3">
      <c r="A6" s="106"/>
      <c r="B6" s="107" t="s">
        <v>80</v>
      </c>
      <c r="C6" s="106"/>
    </row>
    <row r="7" spans="1:3" ht="13.5" customHeight="1" x14ac:dyDescent="0.3">
      <c r="A7" s="106"/>
      <c r="B7" s="107"/>
      <c r="C7" s="106"/>
    </row>
    <row r="8" spans="1:3" ht="19.5" customHeight="1" x14ac:dyDescent="0.3">
      <c r="A8" s="2"/>
      <c r="B8" s="108" t="s">
        <v>81</v>
      </c>
      <c r="C8" s="2"/>
    </row>
    <row r="9" spans="1:3" ht="13.5" customHeight="1" x14ac:dyDescent="0.3">
      <c r="A9" s="106"/>
      <c r="B9" s="114" t="s">
        <v>139</v>
      </c>
      <c r="C9" s="106"/>
    </row>
    <row r="10" spans="1:3" ht="13.5" customHeight="1" x14ac:dyDescent="0.3">
      <c r="A10" s="106"/>
      <c r="B10" s="107" t="s">
        <v>82</v>
      </c>
      <c r="C10" s="106"/>
    </row>
    <row r="11" spans="1:3" ht="13.5" customHeight="1" x14ac:dyDescent="0.3">
      <c r="A11" s="106"/>
      <c r="B11" s="107" t="s">
        <v>83</v>
      </c>
      <c r="C11" s="106"/>
    </row>
    <row r="12" spans="1:3" ht="13.5" customHeight="1" x14ac:dyDescent="0.3">
      <c r="A12" s="106"/>
      <c r="B12" s="107" t="s">
        <v>84</v>
      </c>
      <c r="C12" s="106"/>
    </row>
    <row r="13" spans="1:3" ht="13.5" customHeight="1" x14ac:dyDescent="0.3">
      <c r="A13" s="106"/>
      <c r="B13" s="107" t="s">
        <v>85</v>
      </c>
      <c r="C13" s="106"/>
    </row>
    <row r="14" spans="1:3" ht="13.5" customHeight="1" x14ac:dyDescent="0.3">
      <c r="A14" s="106"/>
      <c r="B14" s="107" t="s">
        <v>86</v>
      </c>
      <c r="C14" s="106"/>
    </row>
    <row r="15" spans="1:3" ht="13.5" customHeight="1" x14ac:dyDescent="0.3">
      <c r="A15" s="106"/>
      <c r="B15" s="107" t="s">
        <v>87</v>
      </c>
      <c r="C15" s="106"/>
    </row>
    <row r="16" spans="1:3" ht="13.5" customHeight="1" x14ac:dyDescent="0.3">
      <c r="A16" s="106"/>
      <c r="B16" s="107" t="s">
        <v>88</v>
      </c>
      <c r="C16" s="106"/>
    </row>
    <row r="17" spans="1:3" ht="13.5" customHeight="1" x14ac:dyDescent="0.3">
      <c r="A17" s="106"/>
      <c r="B17" s="107"/>
      <c r="C17" s="106"/>
    </row>
    <row r="18" spans="1:3" ht="19.5" customHeight="1" x14ac:dyDescent="0.3">
      <c r="A18" s="2"/>
      <c r="B18" s="108" t="s">
        <v>89</v>
      </c>
      <c r="C18" s="2"/>
    </row>
    <row r="19" spans="1:3" ht="13.5" customHeight="1" x14ac:dyDescent="0.3">
      <c r="A19" s="106"/>
      <c r="B19" s="107" t="s">
        <v>90</v>
      </c>
      <c r="C19" s="106"/>
    </row>
    <row r="20" spans="1:3" ht="13.5" customHeight="1" x14ac:dyDescent="0.3">
      <c r="A20" s="106"/>
      <c r="B20" s="107" t="s">
        <v>91</v>
      </c>
      <c r="C20" s="106"/>
    </row>
    <row r="21" spans="1:3" ht="13.5" customHeight="1" x14ac:dyDescent="0.3">
      <c r="A21" s="106"/>
      <c r="B21" s="107" t="s">
        <v>92</v>
      </c>
      <c r="C21" s="106"/>
    </row>
    <row r="22" spans="1:3" ht="13.5" customHeight="1" x14ac:dyDescent="0.3">
      <c r="A22" s="106"/>
      <c r="B22" s="107" t="s">
        <v>93</v>
      </c>
      <c r="C22" s="106"/>
    </row>
    <row r="23" spans="1:3" ht="13.5" customHeight="1" x14ac:dyDescent="0.3">
      <c r="A23" s="106"/>
      <c r="B23" s="107" t="s">
        <v>94</v>
      </c>
      <c r="C23" s="106"/>
    </row>
    <row r="24" spans="1:3" ht="13.5" customHeight="1" x14ac:dyDescent="0.3">
      <c r="A24" s="106"/>
      <c r="B24" s="107" t="s">
        <v>95</v>
      </c>
      <c r="C24" s="106"/>
    </row>
    <row r="25" spans="1:3" ht="13.5" customHeight="1" x14ac:dyDescent="0.3">
      <c r="A25" s="106"/>
      <c r="B25" s="107" t="s">
        <v>96</v>
      </c>
      <c r="C25" s="106"/>
    </row>
    <row r="26" spans="1:3" ht="13.5" customHeight="1" x14ac:dyDescent="0.3">
      <c r="A26" s="106"/>
      <c r="B26" s="107"/>
      <c r="C26" s="106"/>
    </row>
    <row r="27" spans="1:3" ht="19.5" customHeight="1" x14ac:dyDescent="0.3">
      <c r="A27" s="2"/>
      <c r="B27" s="108" t="s">
        <v>97</v>
      </c>
      <c r="C27" s="2"/>
    </row>
    <row r="28" spans="1:3" ht="18" customHeight="1" x14ac:dyDescent="0.3">
      <c r="A28" s="109"/>
      <c r="B28" s="110" t="s">
        <v>98</v>
      </c>
      <c r="C28" s="109"/>
    </row>
    <row r="29" spans="1:3" ht="13.5" customHeight="1" x14ac:dyDescent="0.3">
      <c r="A29" s="106"/>
      <c r="B29" s="107" t="s">
        <v>99</v>
      </c>
      <c r="C29" s="106"/>
    </row>
    <row r="30" spans="1:3" ht="19.5" customHeight="1" x14ac:dyDescent="0.3">
      <c r="A30" s="111"/>
      <c r="B30" s="112" t="s">
        <v>100</v>
      </c>
      <c r="C30" s="111"/>
    </row>
    <row r="31" spans="1:3" ht="19.5" customHeight="1" x14ac:dyDescent="0.3">
      <c r="A31" s="111"/>
      <c r="B31" s="112" t="s">
        <v>101</v>
      </c>
      <c r="C31" s="111"/>
    </row>
    <row r="32" spans="1:3" ht="19.5" customHeight="1" x14ac:dyDescent="0.3">
      <c r="A32" s="111"/>
      <c r="B32" s="112" t="s">
        <v>102</v>
      </c>
      <c r="C32" s="111"/>
    </row>
    <row r="33" spans="1:3" ht="19.5" customHeight="1" x14ac:dyDescent="0.3">
      <c r="A33" s="111"/>
      <c r="B33" s="112" t="s">
        <v>103</v>
      </c>
      <c r="C33" s="111"/>
    </row>
    <row r="34" spans="1:3" ht="19.5" customHeight="1" x14ac:dyDescent="0.3">
      <c r="A34" s="111"/>
      <c r="B34" s="112" t="s">
        <v>104</v>
      </c>
      <c r="C34" s="111"/>
    </row>
    <row r="35" spans="1:3" ht="19.5" customHeight="1" x14ac:dyDescent="0.3">
      <c r="A35" s="111"/>
      <c r="B35" s="112" t="s">
        <v>105</v>
      </c>
      <c r="C35" s="111"/>
    </row>
    <row r="36" spans="1:3" ht="19.5" customHeight="1" x14ac:dyDescent="0.3">
      <c r="A36" s="111"/>
      <c r="B36" s="112" t="s">
        <v>106</v>
      </c>
      <c r="C36" s="111"/>
    </row>
    <row r="37" spans="1:3" ht="13.5" customHeight="1" x14ac:dyDescent="0.3">
      <c r="A37" s="106"/>
      <c r="B37" s="107"/>
      <c r="C37" s="106"/>
    </row>
    <row r="38" spans="1:3" ht="18" customHeight="1" x14ac:dyDescent="0.3">
      <c r="A38" s="109"/>
      <c r="B38" s="110" t="s">
        <v>107</v>
      </c>
      <c r="C38" s="109"/>
    </row>
    <row r="39" spans="1:3" ht="13.5" customHeight="1" x14ac:dyDescent="0.3">
      <c r="A39" s="106"/>
      <c r="B39" s="107" t="s">
        <v>108</v>
      </c>
      <c r="C39" s="106"/>
    </row>
    <row r="40" spans="1:3" ht="13.5" customHeight="1" x14ac:dyDescent="0.3">
      <c r="A40" s="106"/>
      <c r="B40" s="107" t="s">
        <v>109</v>
      </c>
      <c r="C40" s="106"/>
    </row>
    <row r="41" spans="1:3" ht="13.5" customHeight="1" x14ac:dyDescent="0.3">
      <c r="A41" s="106"/>
      <c r="B41" s="107" t="s">
        <v>110</v>
      </c>
      <c r="C41" s="106"/>
    </row>
    <row r="42" spans="1:3" ht="13.5" customHeight="1" x14ac:dyDescent="0.3">
      <c r="A42" s="106"/>
      <c r="B42" s="107" t="s">
        <v>111</v>
      </c>
      <c r="C42" s="106"/>
    </row>
    <row r="43" spans="1:3" ht="13.5" customHeight="1" x14ac:dyDescent="0.3">
      <c r="A43" s="106"/>
      <c r="B43" s="107" t="s">
        <v>112</v>
      </c>
      <c r="C43" s="106"/>
    </row>
    <row r="44" spans="1:3" ht="13.5" customHeight="1" x14ac:dyDescent="0.3">
      <c r="A44" s="106"/>
      <c r="B44" s="107" t="s">
        <v>113</v>
      </c>
      <c r="C44" s="106"/>
    </row>
    <row r="45" spans="1:3" ht="19.5" customHeight="1" x14ac:dyDescent="0.3">
      <c r="A45" s="111"/>
      <c r="B45" s="112" t="s">
        <v>114</v>
      </c>
      <c r="C45" s="111"/>
    </row>
    <row r="46" spans="1:3" ht="13.5" customHeight="1" x14ac:dyDescent="0.3">
      <c r="A46" s="106"/>
      <c r="B46" s="107"/>
      <c r="C46" s="106"/>
    </row>
    <row r="47" spans="1:3" ht="18" customHeight="1" x14ac:dyDescent="0.3">
      <c r="A47" s="109"/>
      <c r="B47" s="110" t="s">
        <v>115</v>
      </c>
      <c r="C47" s="109"/>
    </row>
    <row r="48" spans="1:3" ht="13.5" customHeight="1" x14ac:dyDescent="0.3">
      <c r="A48" s="106"/>
      <c r="B48" s="107" t="s">
        <v>116</v>
      </c>
      <c r="C48" s="106"/>
    </row>
    <row r="49" spans="1:3" ht="19.5" customHeight="1" x14ac:dyDescent="0.3">
      <c r="A49" s="111"/>
      <c r="B49" s="112" t="s">
        <v>117</v>
      </c>
      <c r="C49" s="111"/>
    </row>
    <row r="50" spans="1:3" ht="13.5" customHeight="1" x14ac:dyDescent="0.3">
      <c r="A50" s="106"/>
      <c r="B50" s="107" t="s">
        <v>118</v>
      </c>
      <c r="C50" s="106"/>
    </row>
    <row r="51" spans="1:3" ht="19.5" customHeight="1" x14ac:dyDescent="0.3">
      <c r="A51" s="111"/>
      <c r="B51" s="112" t="s">
        <v>119</v>
      </c>
      <c r="C51" s="111"/>
    </row>
    <row r="52" spans="1:3" ht="19.5" customHeight="1" x14ac:dyDescent="0.3">
      <c r="A52" s="111"/>
      <c r="B52" s="112" t="s">
        <v>120</v>
      </c>
      <c r="C52" s="111"/>
    </row>
    <row r="53" spans="1:3" ht="19.5" customHeight="1" x14ac:dyDescent="0.3">
      <c r="A53" s="111"/>
      <c r="B53" s="112" t="s">
        <v>121</v>
      </c>
      <c r="C53" s="111"/>
    </row>
    <row r="54" spans="1:3" ht="19.5" customHeight="1" x14ac:dyDescent="0.3">
      <c r="A54" s="111"/>
      <c r="B54" s="112" t="s">
        <v>122</v>
      </c>
      <c r="C54" s="111"/>
    </row>
    <row r="55" spans="1:3" ht="13.5" customHeight="1" x14ac:dyDescent="0.3">
      <c r="A55" s="106"/>
      <c r="B55" s="107"/>
      <c r="C55" s="106"/>
    </row>
    <row r="56" spans="1:3" ht="18" customHeight="1" x14ac:dyDescent="0.3">
      <c r="A56" s="109"/>
      <c r="B56" s="110" t="s">
        <v>123</v>
      </c>
      <c r="C56" s="109"/>
    </row>
    <row r="57" spans="1:3" ht="13.5" customHeight="1" x14ac:dyDescent="0.3">
      <c r="A57" s="106"/>
      <c r="B57" s="107" t="s">
        <v>124</v>
      </c>
      <c r="C57" s="106"/>
    </row>
    <row r="58" spans="1:3" ht="19.5" customHeight="1" x14ac:dyDescent="0.3">
      <c r="A58" s="111"/>
      <c r="B58" s="112" t="s">
        <v>125</v>
      </c>
      <c r="C58" s="111"/>
    </row>
    <row r="59" spans="1:3" ht="13.5" customHeight="1" x14ac:dyDescent="0.3">
      <c r="A59" s="106"/>
      <c r="B59" s="107" t="s">
        <v>126</v>
      </c>
      <c r="C59" s="106"/>
    </row>
    <row r="60" spans="1:3" ht="19.5" customHeight="1" x14ac:dyDescent="0.3">
      <c r="A60" s="111"/>
      <c r="B60" s="112" t="s">
        <v>127</v>
      </c>
      <c r="C60" s="111"/>
    </row>
    <row r="61" spans="1:3" ht="13.5" customHeight="1" x14ac:dyDescent="0.3">
      <c r="A61" s="106"/>
      <c r="B61" s="107" t="s">
        <v>128</v>
      </c>
      <c r="C61" s="106"/>
    </row>
    <row r="62" spans="1:3" ht="19.5" customHeight="1" x14ac:dyDescent="0.3">
      <c r="A62" s="111"/>
      <c r="B62" s="112" t="s">
        <v>129</v>
      </c>
      <c r="C62" s="111"/>
    </row>
    <row r="63" spans="1:3" ht="13.5" customHeight="1" x14ac:dyDescent="0.3">
      <c r="A63" s="106"/>
      <c r="B63" s="107"/>
      <c r="C63" s="106"/>
    </row>
    <row r="64" spans="1:3" ht="18" customHeight="1" x14ac:dyDescent="0.3">
      <c r="A64" s="109"/>
      <c r="B64" s="110" t="s">
        <v>130</v>
      </c>
      <c r="C64" s="109"/>
    </row>
    <row r="65" spans="1:3" ht="13.5" customHeight="1" x14ac:dyDescent="0.3">
      <c r="A65" s="106"/>
      <c r="B65" s="107" t="s">
        <v>131</v>
      </c>
      <c r="C65" s="106"/>
    </row>
    <row r="66" spans="1:3" ht="19.5" customHeight="1" x14ac:dyDescent="0.3">
      <c r="A66" s="111"/>
      <c r="B66" s="112" t="s">
        <v>132</v>
      </c>
      <c r="C66" s="111"/>
    </row>
    <row r="67" spans="1:3" ht="17.399999999999999" customHeight="1" x14ac:dyDescent="0.3">
      <c r="A67" s="106"/>
      <c r="B67" s="107" t="s">
        <v>133</v>
      </c>
      <c r="C67" s="106"/>
    </row>
    <row r="68" spans="1:3" ht="13.5" customHeight="1" x14ac:dyDescent="0.3">
      <c r="A68" s="106"/>
      <c r="B68" s="107"/>
      <c r="C68" s="106"/>
    </row>
    <row r="69" spans="1:3" ht="19.5" customHeight="1" x14ac:dyDescent="0.3">
      <c r="A69" s="2"/>
      <c r="B69" s="108" t="s">
        <v>134</v>
      </c>
      <c r="C69" s="2"/>
    </row>
    <row r="70" spans="1:3" ht="17.399999999999999" customHeight="1" x14ac:dyDescent="0.3">
      <c r="A70" s="106"/>
      <c r="B70" s="107" t="s">
        <v>135</v>
      </c>
      <c r="C70" s="106"/>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Neha Penumetcha</cp:lastModifiedBy>
  <cp:revision>3</cp:revision>
  <dcterms:created xsi:type="dcterms:W3CDTF">2026-04-09T14:03:56Z</dcterms:created>
  <dcterms:modified xsi:type="dcterms:W3CDTF">2026-04-10T08:02:55Z</dcterms:modified>
  <dc:language>en-US</dc:language>
</cp:coreProperties>
</file>